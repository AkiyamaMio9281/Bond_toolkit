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nd Toolkit" sheetId="1" state="visible" r:id="rId1"/>
    <sheet xmlns:r="http://schemas.openxmlformats.org/officeDocument/2006/relationships" name="Help" sheetId="2" state="visible" r:id="rId2"/>
    <sheet xmlns:r="http://schemas.openxmlformats.org/officeDocument/2006/relationships" name="Curve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000"/>
    <numFmt numFmtId="166" formatCode="0.0000"/>
  </numFmts>
  <fonts count="13">
    <font>
      <name val="Calibri"/>
      <family val="2"/>
      <color theme="1"/>
      <sz val="11"/>
      <scheme val="minor"/>
    </font>
    <font>
      <b val="1"/>
      <sz val="16"/>
    </font>
    <font>
      <i val="1"/>
      <color rgb="00404040"/>
      <sz val="10"/>
    </font>
    <font>
      <b val="1"/>
      <color rgb="00FFFFFF"/>
      <sz val="12"/>
    </font>
    <font>
      <color rgb="00000000"/>
    </font>
    <font>
      <color rgb="000000FF"/>
    </font>
    <font>
      <color rgb="007F7F7F"/>
    </font>
    <font>
      <b val="1"/>
    </font>
    <font>
      <b val="1"/>
      <color rgb="00FFFFFF"/>
    </font>
    <font>
      <color rgb="00404040"/>
      <sz val="10"/>
    </font>
    <font>
      <b val="1"/>
      <sz val="14"/>
    </font>
    <font>
      <sz val="11"/>
    </font>
    <font>
      <color rgb="000070C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5" fillId="0" borderId="1" applyAlignment="1" pivotButton="0" quotePrefix="0" xfId="0">
      <alignment horizontal="right" vertical="center"/>
    </xf>
    <xf numFmtId="1" fontId="6" fillId="0" borderId="0" pivotButton="0" quotePrefix="0" xfId="0"/>
    <xf numFmtId="10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Interest Rate / Bond Cash-Flow Toolkit</t>
        </is>
      </c>
    </row>
    <row r="2">
      <c r="A2" s="2" t="inlineStr">
        <is>
          <t>Blue = inputs. Black = formulas. Change inputs → outputs/cash-flows update. Use 'Run Scenarios' VBA to fill scenario table.</t>
        </is>
      </c>
    </row>
    <row r="4" ht="20" customHeight="1">
      <c r="A4" s="3" t="inlineStr">
        <is>
          <t>INPUTS</t>
        </is>
      </c>
    </row>
    <row r="5">
      <c r="A5" s="4" t="inlineStr">
        <is>
          <t>Face Value (FV)</t>
        </is>
      </c>
      <c r="B5" s="5" t="n">
        <v>1000</v>
      </c>
      <c r="D5" t="inlineStr">
        <is>
          <t>Max rows in CF table</t>
        </is>
      </c>
      <c r="E5" s="6" t="n">
        <v>200</v>
      </c>
    </row>
    <row r="6">
      <c r="A6" s="4" t="inlineStr">
        <is>
          <t>Annual Coupon Rate (c)</t>
        </is>
      </c>
      <c r="B6" s="7" t="n">
        <v>0.05</v>
      </c>
      <c r="D6" s="8" t="inlineStr">
        <is>
          <t>DERIVED (do not edit)</t>
        </is>
      </c>
    </row>
    <row r="7">
      <c r="A7" s="4" t="inlineStr">
        <is>
          <t>Maturity (years, T)</t>
        </is>
      </c>
      <c r="B7" s="5" t="n">
        <v>10</v>
      </c>
      <c r="D7" s="9" t="inlineStr">
        <is>
          <t>Coupon per period</t>
        </is>
      </c>
      <c r="E7" s="10">
        <f>B5*B6/B8</f>
        <v/>
      </c>
    </row>
    <row r="8">
      <c r="A8" s="4" t="inlineStr">
        <is>
          <t>Coupon Frequency (p payments/year)</t>
        </is>
      </c>
      <c r="B8" s="5" t="n">
        <v>2</v>
      </c>
      <c r="D8" s="9" t="inlineStr">
        <is>
          <t>Number of payments N</t>
        </is>
      </c>
      <c r="E8" s="11">
        <f>B7*B8</f>
        <v/>
      </c>
    </row>
    <row r="9">
      <c r="A9" s="4" t="inlineStr">
        <is>
          <t>Yield Nominal Rate j^(m)</t>
        </is>
      </c>
      <c r="B9" s="7" t="n">
        <v>0.06</v>
      </c>
      <c r="D9" s="9" t="inlineStr">
        <is>
          <t>a = 1 + j/m</t>
        </is>
      </c>
      <c r="E9" s="12">
        <f>1+B9/B10</f>
        <v/>
      </c>
    </row>
    <row r="10">
      <c r="A10" s="4" t="inlineStr">
        <is>
          <t>Yield Compounding (m times/year)</t>
        </is>
      </c>
      <c r="B10" s="5" t="n">
        <v>2</v>
      </c>
      <c r="D10" s="9" t="inlineStr">
        <is>
          <t>Base price P0</t>
        </is>
      </c>
      <c r="E10" s="10">
        <f>B13</f>
        <v/>
      </c>
    </row>
    <row r="11">
      <c r="D11" s="27" t="inlineStr">
        <is>
          <t>Python v2: optionally define a Curve sheet (pillars + zero rates) for curve pricing/scenarios.</t>
        </is>
      </c>
    </row>
    <row r="12" ht="20" customHeight="1">
      <c r="A12" s="3" t="inlineStr">
        <is>
          <t>OUTPUTS</t>
        </is>
      </c>
    </row>
    <row r="13">
      <c r="A13" s="8" t="inlineStr">
        <is>
          <t>Bond Price / PV (P)</t>
        </is>
      </c>
      <c r="B13" s="10">
        <f>SUM(E19:E218)</f>
        <v/>
      </c>
    </row>
    <row r="14">
      <c r="A14" s="8" t="inlineStr">
        <is>
          <t>Macaulay Duration (years)</t>
        </is>
      </c>
      <c r="B14" s="13">
        <f>IF(B13=0,"",SUMPRODUCT(B19:B218,E19:E218)/B13)</f>
        <v/>
      </c>
    </row>
    <row r="15">
      <c r="A15" s="8" t="inlineStr">
        <is>
          <t>Modified Duration (years)</t>
        </is>
      </c>
      <c r="B15" s="13">
        <f>IF(B14="","",B14/(1+B9/B10))</f>
        <v/>
      </c>
    </row>
    <row r="16">
      <c r="A16" s="8" t="inlineStr">
        <is>
          <t>Convexity (years^2)</t>
        </is>
      </c>
      <c r="B16" s="13">
        <f>IF(B13=0,"",SUMPRODUCT(B19:B218,(B19:B218+1/B10),E19:E218)/(B13*(1+B9/B10)^2))</f>
        <v/>
      </c>
    </row>
    <row r="18" ht="18" customHeight="1">
      <c r="A18" s="14" t="inlineStr">
        <is>
          <t>k</t>
        </is>
      </c>
      <c r="B18" s="14" t="inlineStr">
        <is>
          <t>Time t (yrs)</t>
        </is>
      </c>
      <c r="C18" s="14" t="inlineStr">
        <is>
          <t>Cash Flow</t>
        </is>
      </c>
      <c r="D18" s="14" t="inlineStr">
        <is>
          <t>Discount Factor</t>
        </is>
      </c>
      <c r="E18" s="14" t="inlineStr">
        <is>
          <t>PV</t>
        </is>
      </c>
    </row>
    <row r="19">
      <c r="A19" s="15">
        <f>IF(1&lt;= $E$8, 1, "")</f>
        <v/>
      </c>
      <c r="B19" s="16">
        <f>IF(A19="","",A19/$B$8)</f>
        <v/>
      </c>
      <c r="C19" s="17">
        <f>IF(A19="","",IF(A19&lt;$E$8,$E$7,$E$7+$B$5))</f>
        <v/>
      </c>
      <c r="D19" s="18">
        <f>IF(A19="","",$E$9^(-$B$10*B19))</f>
        <v/>
      </c>
      <c r="E19" s="17">
        <f>IF(A19="","",C19*D19)</f>
        <v/>
      </c>
    </row>
    <row r="20">
      <c r="A20" s="15">
        <f>IF(2&lt;= $E$8, 2, "")</f>
        <v/>
      </c>
      <c r="B20" s="16">
        <f>IF(A20="","",A20/$B$8)</f>
        <v/>
      </c>
      <c r="C20" s="17">
        <f>IF(A20="","",IF(A20&lt;$E$8,$E$7,$E$7+$B$5))</f>
        <v/>
      </c>
      <c r="D20" s="18">
        <f>IF(A20="","",$E$9^(-$B$10*B20))</f>
        <v/>
      </c>
      <c r="E20" s="17">
        <f>IF(A20="","",C20*D20)</f>
        <v/>
      </c>
    </row>
    <row r="21">
      <c r="A21" s="15">
        <f>IF(3&lt;= $E$8, 3, "")</f>
        <v/>
      </c>
      <c r="B21" s="16">
        <f>IF(A21="","",A21/$B$8)</f>
        <v/>
      </c>
      <c r="C21" s="17">
        <f>IF(A21="","",IF(A21&lt;$E$8,$E$7,$E$7+$B$5))</f>
        <v/>
      </c>
      <c r="D21" s="18">
        <f>IF(A21="","",$E$9^(-$B$10*B21))</f>
        <v/>
      </c>
      <c r="E21" s="17">
        <f>IF(A21="","",C21*D21)</f>
        <v/>
      </c>
    </row>
    <row r="22">
      <c r="A22" s="15">
        <f>IF(4&lt;= $E$8, 4, "")</f>
        <v/>
      </c>
      <c r="B22" s="16">
        <f>IF(A22="","",A22/$B$8)</f>
        <v/>
      </c>
      <c r="C22" s="17">
        <f>IF(A22="","",IF(A22&lt;$E$8,$E$7,$E$7+$B$5))</f>
        <v/>
      </c>
      <c r="D22" s="18">
        <f>IF(A22="","",$E$9^(-$B$10*B22))</f>
        <v/>
      </c>
      <c r="E22" s="17">
        <f>IF(A22="","",C22*D22)</f>
        <v/>
      </c>
    </row>
    <row r="23">
      <c r="A23" s="15">
        <f>IF(5&lt;= $E$8, 5, "")</f>
        <v/>
      </c>
      <c r="B23" s="16">
        <f>IF(A23="","",A23/$B$8)</f>
        <v/>
      </c>
      <c r="C23" s="17">
        <f>IF(A23="","",IF(A23&lt;$E$8,$E$7,$E$7+$B$5))</f>
        <v/>
      </c>
      <c r="D23" s="18">
        <f>IF(A23="","",$E$9^(-$B$10*B23))</f>
        <v/>
      </c>
      <c r="E23" s="17">
        <f>IF(A23="","",C23*D23)</f>
        <v/>
      </c>
    </row>
    <row r="24">
      <c r="A24" s="15">
        <f>IF(6&lt;= $E$8, 6, "")</f>
        <v/>
      </c>
      <c r="B24" s="16">
        <f>IF(A24="","",A24/$B$8)</f>
        <v/>
      </c>
      <c r="C24" s="17">
        <f>IF(A24="","",IF(A24&lt;$E$8,$E$7,$E$7+$B$5))</f>
        <v/>
      </c>
      <c r="D24" s="18">
        <f>IF(A24="","",$E$9^(-$B$10*B24))</f>
        <v/>
      </c>
      <c r="E24" s="17">
        <f>IF(A24="","",C24*D24)</f>
        <v/>
      </c>
    </row>
    <row r="25">
      <c r="A25" s="15">
        <f>IF(7&lt;= $E$8, 7, "")</f>
        <v/>
      </c>
      <c r="B25" s="16">
        <f>IF(A25="","",A25/$B$8)</f>
        <v/>
      </c>
      <c r="C25" s="17">
        <f>IF(A25="","",IF(A25&lt;$E$8,$E$7,$E$7+$B$5))</f>
        <v/>
      </c>
      <c r="D25" s="18">
        <f>IF(A25="","",$E$9^(-$B$10*B25))</f>
        <v/>
      </c>
      <c r="E25" s="17">
        <f>IF(A25="","",C25*D25)</f>
        <v/>
      </c>
    </row>
    <row r="26">
      <c r="A26" s="15">
        <f>IF(8&lt;= $E$8, 8, "")</f>
        <v/>
      </c>
      <c r="B26" s="16">
        <f>IF(A26="","",A26/$B$8)</f>
        <v/>
      </c>
      <c r="C26" s="17">
        <f>IF(A26="","",IF(A26&lt;$E$8,$E$7,$E$7+$B$5))</f>
        <v/>
      </c>
      <c r="D26" s="18">
        <f>IF(A26="","",$E$9^(-$B$10*B26))</f>
        <v/>
      </c>
      <c r="E26" s="17">
        <f>IF(A26="","",C26*D26)</f>
        <v/>
      </c>
    </row>
    <row r="27">
      <c r="A27" s="15">
        <f>IF(9&lt;= $E$8, 9, "")</f>
        <v/>
      </c>
      <c r="B27" s="16">
        <f>IF(A27="","",A27/$B$8)</f>
        <v/>
      </c>
      <c r="C27" s="17">
        <f>IF(A27="","",IF(A27&lt;$E$8,$E$7,$E$7+$B$5))</f>
        <v/>
      </c>
      <c r="D27" s="18">
        <f>IF(A27="","",$E$9^(-$B$10*B27))</f>
        <v/>
      </c>
      <c r="E27" s="17">
        <f>IF(A27="","",C27*D27)</f>
        <v/>
      </c>
    </row>
    <row r="28">
      <c r="A28" s="15">
        <f>IF(10&lt;= $E$8, 10, "")</f>
        <v/>
      </c>
      <c r="B28" s="16">
        <f>IF(A28="","",A28/$B$8)</f>
        <v/>
      </c>
      <c r="C28" s="17">
        <f>IF(A28="","",IF(A28&lt;$E$8,$E$7,$E$7+$B$5))</f>
        <v/>
      </c>
      <c r="D28" s="18">
        <f>IF(A28="","",$E$9^(-$B$10*B28))</f>
        <v/>
      </c>
      <c r="E28" s="17">
        <f>IF(A28="","",C28*D28)</f>
        <v/>
      </c>
    </row>
    <row r="29">
      <c r="A29" s="15">
        <f>IF(11&lt;= $E$8, 11, "")</f>
        <v/>
      </c>
      <c r="B29" s="16">
        <f>IF(A29="","",A29/$B$8)</f>
        <v/>
      </c>
      <c r="C29" s="17">
        <f>IF(A29="","",IF(A29&lt;$E$8,$E$7,$E$7+$B$5))</f>
        <v/>
      </c>
      <c r="D29" s="18">
        <f>IF(A29="","",$E$9^(-$B$10*B29))</f>
        <v/>
      </c>
      <c r="E29" s="17">
        <f>IF(A29="","",C29*D29)</f>
        <v/>
      </c>
    </row>
    <row r="30">
      <c r="A30" s="15">
        <f>IF(12&lt;= $E$8, 12, "")</f>
        <v/>
      </c>
      <c r="B30" s="16">
        <f>IF(A30="","",A30/$B$8)</f>
        <v/>
      </c>
      <c r="C30" s="17">
        <f>IF(A30="","",IF(A30&lt;$E$8,$E$7,$E$7+$B$5))</f>
        <v/>
      </c>
      <c r="D30" s="18">
        <f>IF(A30="","",$E$9^(-$B$10*B30))</f>
        <v/>
      </c>
      <c r="E30" s="17">
        <f>IF(A30="","",C30*D30)</f>
        <v/>
      </c>
    </row>
    <row r="31">
      <c r="A31" s="15">
        <f>IF(13&lt;= $E$8, 13, "")</f>
        <v/>
      </c>
      <c r="B31" s="16">
        <f>IF(A31="","",A31/$B$8)</f>
        <v/>
      </c>
      <c r="C31" s="17">
        <f>IF(A31="","",IF(A31&lt;$E$8,$E$7,$E$7+$B$5))</f>
        <v/>
      </c>
      <c r="D31" s="18">
        <f>IF(A31="","",$E$9^(-$B$10*B31))</f>
        <v/>
      </c>
      <c r="E31" s="17">
        <f>IF(A31="","",C31*D31)</f>
        <v/>
      </c>
    </row>
    <row r="32">
      <c r="A32" s="15">
        <f>IF(14&lt;= $E$8, 14, "")</f>
        <v/>
      </c>
      <c r="B32" s="16">
        <f>IF(A32="","",A32/$B$8)</f>
        <v/>
      </c>
      <c r="C32" s="17">
        <f>IF(A32="","",IF(A32&lt;$E$8,$E$7,$E$7+$B$5))</f>
        <v/>
      </c>
      <c r="D32" s="18">
        <f>IF(A32="","",$E$9^(-$B$10*B32))</f>
        <v/>
      </c>
      <c r="E32" s="17">
        <f>IF(A32="","",C32*D32)</f>
        <v/>
      </c>
    </row>
    <row r="33">
      <c r="A33" s="15">
        <f>IF(15&lt;= $E$8, 15, "")</f>
        <v/>
      </c>
      <c r="B33" s="16">
        <f>IF(A33="","",A33/$B$8)</f>
        <v/>
      </c>
      <c r="C33" s="17">
        <f>IF(A33="","",IF(A33&lt;$E$8,$E$7,$E$7+$B$5))</f>
        <v/>
      </c>
      <c r="D33" s="18">
        <f>IF(A33="","",$E$9^(-$B$10*B33))</f>
        <v/>
      </c>
      <c r="E33" s="17">
        <f>IF(A33="","",C33*D33)</f>
        <v/>
      </c>
    </row>
    <row r="34">
      <c r="A34" s="15">
        <f>IF(16&lt;= $E$8, 16, "")</f>
        <v/>
      </c>
      <c r="B34" s="16">
        <f>IF(A34="","",A34/$B$8)</f>
        <v/>
      </c>
      <c r="C34" s="17">
        <f>IF(A34="","",IF(A34&lt;$E$8,$E$7,$E$7+$B$5))</f>
        <v/>
      </c>
      <c r="D34" s="18">
        <f>IF(A34="","",$E$9^(-$B$10*B34))</f>
        <v/>
      </c>
      <c r="E34" s="17">
        <f>IF(A34="","",C34*D34)</f>
        <v/>
      </c>
    </row>
    <row r="35">
      <c r="A35" s="15">
        <f>IF(17&lt;= $E$8, 17, "")</f>
        <v/>
      </c>
      <c r="B35" s="16">
        <f>IF(A35="","",A35/$B$8)</f>
        <v/>
      </c>
      <c r="C35" s="17">
        <f>IF(A35="","",IF(A35&lt;$E$8,$E$7,$E$7+$B$5))</f>
        <v/>
      </c>
      <c r="D35" s="18">
        <f>IF(A35="","",$E$9^(-$B$10*B35))</f>
        <v/>
      </c>
      <c r="E35" s="17">
        <f>IF(A35="","",C35*D35)</f>
        <v/>
      </c>
    </row>
    <row r="36">
      <c r="A36" s="15">
        <f>IF(18&lt;= $E$8, 18, "")</f>
        <v/>
      </c>
      <c r="B36" s="16">
        <f>IF(A36="","",A36/$B$8)</f>
        <v/>
      </c>
      <c r="C36" s="17">
        <f>IF(A36="","",IF(A36&lt;$E$8,$E$7,$E$7+$B$5))</f>
        <v/>
      </c>
      <c r="D36" s="18">
        <f>IF(A36="","",$E$9^(-$B$10*B36))</f>
        <v/>
      </c>
      <c r="E36" s="17">
        <f>IF(A36="","",C36*D36)</f>
        <v/>
      </c>
    </row>
    <row r="37">
      <c r="A37" s="15">
        <f>IF(19&lt;= $E$8, 19, "")</f>
        <v/>
      </c>
      <c r="B37" s="16">
        <f>IF(A37="","",A37/$B$8)</f>
        <v/>
      </c>
      <c r="C37" s="17">
        <f>IF(A37="","",IF(A37&lt;$E$8,$E$7,$E$7+$B$5))</f>
        <v/>
      </c>
      <c r="D37" s="18">
        <f>IF(A37="","",$E$9^(-$B$10*B37))</f>
        <v/>
      </c>
      <c r="E37" s="17">
        <f>IF(A37="","",C37*D37)</f>
        <v/>
      </c>
    </row>
    <row r="38">
      <c r="A38" s="15">
        <f>IF(20&lt;= $E$8, 20, "")</f>
        <v/>
      </c>
      <c r="B38" s="16">
        <f>IF(A38="","",A38/$B$8)</f>
        <v/>
      </c>
      <c r="C38" s="17">
        <f>IF(A38="","",IF(A38&lt;$E$8,$E$7,$E$7+$B$5))</f>
        <v/>
      </c>
      <c r="D38" s="18">
        <f>IF(A38="","",$E$9^(-$B$10*B38))</f>
        <v/>
      </c>
      <c r="E38" s="17">
        <f>IF(A38="","",C38*D38)</f>
        <v/>
      </c>
    </row>
    <row r="39">
      <c r="A39" s="15">
        <f>IF(21&lt;= $E$8, 21, "")</f>
        <v/>
      </c>
      <c r="B39" s="16">
        <f>IF(A39="","",A39/$B$8)</f>
        <v/>
      </c>
      <c r="C39" s="17">
        <f>IF(A39="","",IF(A39&lt;$E$8,$E$7,$E$7+$B$5))</f>
        <v/>
      </c>
      <c r="D39" s="18">
        <f>IF(A39="","",$E$9^(-$B$10*B39))</f>
        <v/>
      </c>
      <c r="E39" s="17">
        <f>IF(A39="","",C39*D39)</f>
        <v/>
      </c>
    </row>
    <row r="40">
      <c r="A40" s="15">
        <f>IF(22&lt;= $E$8, 22, "")</f>
        <v/>
      </c>
      <c r="B40" s="16">
        <f>IF(A40="","",A40/$B$8)</f>
        <v/>
      </c>
      <c r="C40" s="17">
        <f>IF(A40="","",IF(A40&lt;$E$8,$E$7,$E$7+$B$5))</f>
        <v/>
      </c>
      <c r="D40" s="18">
        <f>IF(A40="","",$E$9^(-$B$10*B40))</f>
        <v/>
      </c>
      <c r="E40" s="17">
        <f>IF(A40="","",C40*D40)</f>
        <v/>
      </c>
    </row>
    <row r="41">
      <c r="A41" s="15">
        <f>IF(23&lt;= $E$8, 23, "")</f>
        <v/>
      </c>
      <c r="B41" s="16">
        <f>IF(A41="","",A41/$B$8)</f>
        <v/>
      </c>
      <c r="C41" s="17">
        <f>IF(A41="","",IF(A41&lt;$E$8,$E$7,$E$7+$B$5))</f>
        <v/>
      </c>
      <c r="D41" s="18">
        <f>IF(A41="","",$E$9^(-$B$10*B41))</f>
        <v/>
      </c>
      <c r="E41" s="17">
        <f>IF(A41="","",C41*D41)</f>
        <v/>
      </c>
    </row>
    <row r="42">
      <c r="A42" s="15">
        <f>IF(24&lt;= $E$8, 24, "")</f>
        <v/>
      </c>
      <c r="B42" s="16">
        <f>IF(A42="","",A42/$B$8)</f>
        <v/>
      </c>
      <c r="C42" s="17">
        <f>IF(A42="","",IF(A42&lt;$E$8,$E$7,$E$7+$B$5))</f>
        <v/>
      </c>
      <c r="D42" s="18">
        <f>IF(A42="","",$E$9^(-$B$10*B42))</f>
        <v/>
      </c>
      <c r="E42" s="17">
        <f>IF(A42="","",C42*D42)</f>
        <v/>
      </c>
    </row>
    <row r="43">
      <c r="A43" s="15">
        <f>IF(25&lt;= $E$8, 25, "")</f>
        <v/>
      </c>
      <c r="B43" s="16">
        <f>IF(A43="","",A43/$B$8)</f>
        <v/>
      </c>
      <c r="C43" s="17">
        <f>IF(A43="","",IF(A43&lt;$E$8,$E$7,$E$7+$B$5))</f>
        <v/>
      </c>
      <c r="D43" s="18">
        <f>IF(A43="","",$E$9^(-$B$10*B43))</f>
        <v/>
      </c>
      <c r="E43" s="17">
        <f>IF(A43="","",C43*D43)</f>
        <v/>
      </c>
    </row>
    <row r="44">
      <c r="A44" s="15">
        <f>IF(26&lt;= $E$8, 26, "")</f>
        <v/>
      </c>
      <c r="B44" s="16">
        <f>IF(A44="","",A44/$B$8)</f>
        <v/>
      </c>
      <c r="C44" s="17">
        <f>IF(A44="","",IF(A44&lt;$E$8,$E$7,$E$7+$B$5))</f>
        <v/>
      </c>
      <c r="D44" s="18">
        <f>IF(A44="","",$E$9^(-$B$10*B44))</f>
        <v/>
      </c>
      <c r="E44" s="17">
        <f>IF(A44="","",C44*D44)</f>
        <v/>
      </c>
    </row>
    <row r="45">
      <c r="A45" s="15">
        <f>IF(27&lt;= $E$8, 27, "")</f>
        <v/>
      </c>
      <c r="B45" s="16">
        <f>IF(A45="","",A45/$B$8)</f>
        <v/>
      </c>
      <c r="C45" s="17">
        <f>IF(A45="","",IF(A45&lt;$E$8,$E$7,$E$7+$B$5))</f>
        <v/>
      </c>
      <c r="D45" s="18">
        <f>IF(A45="","",$E$9^(-$B$10*B45))</f>
        <v/>
      </c>
      <c r="E45" s="17">
        <f>IF(A45="","",C45*D45)</f>
        <v/>
      </c>
    </row>
    <row r="46">
      <c r="A46" s="15">
        <f>IF(28&lt;= $E$8, 28, "")</f>
        <v/>
      </c>
      <c r="B46" s="16">
        <f>IF(A46="","",A46/$B$8)</f>
        <v/>
      </c>
      <c r="C46" s="17">
        <f>IF(A46="","",IF(A46&lt;$E$8,$E$7,$E$7+$B$5))</f>
        <v/>
      </c>
      <c r="D46" s="18">
        <f>IF(A46="","",$E$9^(-$B$10*B46))</f>
        <v/>
      </c>
      <c r="E46" s="17">
        <f>IF(A46="","",C46*D46)</f>
        <v/>
      </c>
    </row>
    <row r="47">
      <c r="A47" s="15">
        <f>IF(29&lt;= $E$8, 29, "")</f>
        <v/>
      </c>
      <c r="B47" s="16">
        <f>IF(A47="","",A47/$B$8)</f>
        <v/>
      </c>
      <c r="C47" s="17">
        <f>IF(A47="","",IF(A47&lt;$E$8,$E$7,$E$7+$B$5))</f>
        <v/>
      </c>
      <c r="D47" s="18">
        <f>IF(A47="","",$E$9^(-$B$10*B47))</f>
        <v/>
      </c>
      <c r="E47" s="17">
        <f>IF(A47="","",C47*D47)</f>
        <v/>
      </c>
    </row>
    <row r="48">
      <c r="A48" s="15">
        <f>IF(30&lt;= $E$8, 30, "")</f>
        <v/>
      </c>
      <c r="B48" s="16">
        <f>IF(A48="","",A48/$B$8)</f>
        <v/>
      </c>
      <c r="C48" s="17">
        <f>IF(A48="","",IF(A48&lt;$E$8,$E$7,$E$7+$B$5))</f>
        <v/>
      </c>
      <c r="D48" s="18">
        <f>IF(A48="","",$E$9^(-$B$10*B48))</f>
        <v/>
      </c>
      <c r="E48" s="17">
        <f>IF(A48="","",C48*D48)</f>
        <v/>
      </c>
    </row>
    <row r="49">
      <c r="A49" s="15">
        <f>IF(31&lt;= $E$8, 31, "")</f>
        <v/>
      </c>
      <c r="B49" s="16">
        <f>IF(A49="","",A49/$B$8)</f>
        <v/>
      </c>
      <c r="C49" s="17">
        <f>IF(A49="","",IF(A49&lt;$E$8,$E$7,$E$7+$B$5))</f>
        <v/>
      </c>
      <c r="D49" s="18">
        <f>IF(A49="","",$E$9^(-$B$10*B49))</f>
        <v/>
      </c>
      <c r="E49" s="17">
        <f>IF(A49="","",C49*D49)</f>
        <v/>
      </c>
    </row>
    <row r="50">
      <c r="A50" s="15">
        <f>IF(32&lt;= $E$8, 32, "")</f>
        <v/>
      </c>
      <c r="B50" s="16">
        <f>IF(A50="","",A50/$B$8)</f>
        <v/>
      </c>
      <c r="C50" s="17">
        <f>IF(A50="","",IF(A50&lt;$E$8,$E$7,$E$7+$B$5))</f>
        <v/>
      </c>
      <c r="D50" s="18">
        <f>IF(A50="","",$E$9^(-$B$10*B50))</f>
        <v/>
      </c>
      <c r="E50" s="17">
        <f>IF(A50="","",C50*D50)</f>
        <v/>
      </c>
    </row>
    <row r="51">
      <c r="A51" s="15">
        <f>IF(33&lt;= $E$8, 33, "")</f>
        <v/>
      </c>
      <c r="B51" s="16">
        <f>IF(A51="","",A51/$B$8)</f>
        <v/>
      </c>
      <c r="C51" s="17">
        <f>IF(A51="","",IF(A51&lt;$E$8,$E$7,$E$7+$B$5))</f>
        <v/>
      </c>
      <c r="D51" s="18">
        <f>IF(A51="","",$E$9^(-$B$10*B51))</f>
        <v/>
      </c>
      <c r="E51" s="17">
        <f>IF(A51="","",C51*D51)</f>
        <v/>
      </c>
    </row>
    <row r="52">
      <c r="A52" s="15">
        <f>IF(34&lt;= $E$8, 34, "")</f>
        <v/>
      </c>
      <c r="B52" s="16">
        <f>IF(A52="","",A52/$B$8)</f>
        <v/>
      </c>
      <c r="C52" s="17">
        <f>IF(A52="","",IF(A52&lt;$E$8,$E$7,$E$7+$B$5))</f>
        <v/>
      </c>
      <c r="D52" s="18">
        <f>IF(A52="","",$E$9^(-$B$10*B52))</f>
        <v/>
      </c>
      <c r="E52" s="17">
        <f>IF(A52="","",C52*D52)</f>
        <v/>
      </c>
    </row>
    <row r="53">
      <c r="A53" s="15">
        <f>IF(35&lt;= $E$8, 35, "")</f>
        <v/>
      </c>
      <c r="B53" s="16">
        <f>IF(A53="","",A53/$B$8)</f>
        <v/>
      </c>
      <c r="C53" s="17">
        <f>IF(A53="","",IF(A53&lt;$E$8,$E$7,$E$7+$B$5))</f>
        <v/>
      </c>
      <c r="D53" s="18">
        <f>IF(A53="","",$E$9^(-$B$10*B53))</f>
        <v/>
      </c>
      <c r="E53" s="17">
        <f>IF(A53="","",C53*D53)</f>
        <v/>
      </c>
    </row>
    <row r="54">
      <c r="A54" s="15">
        <f>IF(36&lt;= $E$8, 36, "")</f>
        <v/>
      </c>
      <c r="B54" s="16">
        <f>IF(A54="","",A54/$B$8)</f>
        <v/>
      </c>
      <c r="C54" s="17">
        <f>IF(A54="","",IF(A54&lt;$E$8,$E$7,$E$7+$B$5))</f>
        <v/>
      </c>
      <c r="D54" s="18">
        <f>IF(A54="","",$E$9^(-$B$10*B54))</f>
        <v/>
      </c>
      <c r="E54" s="17">
        <f>IF(A54="","",C54*D54)</f>
        <v/>
      </c>
    </row>
    <row r="55">
      <c r="A55" s="15">
        <f>IF(37&lt;= $E$8, 37, "")</f>
        <v/>
      </c>
      <c r="B55" s="16">
        <f>IF(A55="","",A55/$B$8)</f>
        <v/>
      </c>
      <c r="C55" s="17">
        <f>IF(A55="","",IF(A55&lt;$E$8,$E$7,$E$7+$B$5))</f>
        <v/>
      </c>
      <c r="D55" s="18">
        <f>IF(A55="","",$E$9^(-$B$10*B55))</f>
        <v/>
      </c>
      <c r="E55" s="17">
        <f>IF(A55="","",C55*D55)</f>
        <v/>
      </c>
    </row>
    <row r="56">
      <c r="A56" s="15">
        <f>IF(38&lt;= $E$8, 38, "")</f>
        <v/>
      </c>
      <c r="B56" s="16">
        <f>IF(A56="","",A56/$B$8)</f>
        <v/>
      </c>
      <c r="C56" s="17">
        <f>IF(A56="","",IF(A56&lt;$E$8,$E$7,$E$7+$B$5))</f>
        <v/>
      </c>
      <c r="D56" s="18">
        <f>IF(A56="","",$E$9^(-$B$10*B56))</f>
        <v/>
      </c>
      <c r="E56" s="17">
        <f>IF(A56="","",C56*D56)</f>
        <v/>
      </c>
    </row>
    <row r="57">
      <c r="A57" s="15">
        <f>IF(39&lt;= $E$8, 39, "")</f>
        <v/>
      </c>
      <c r="B57" s="16">
        <f>IF(A57="","",A57/$B$8)</f>
        <v/>
      </c>
      <c r="C57" s="17">
        <f>IF(A57="","",IF(A57&lt;$E$8,$E$7,$E$7+$B$5))</f>
        <v/>
      </c>
      <c r="D57" s="18">
        <f>IF(A57="","",$E$9^(-$B$10*B57))</f>
        <v/>
      </c>
      <c r="E57" s="17">
        <f>IF(A57="","",C57*D57)</f>
        <v/>
      </c>
    </row>
    <row r="58">
      <c r="A58" s="15">
        <f>IF(40&lt;= $E$8, 40, "")</f>
        <v/>
      </c>
      <c r="B58" s="16">
        <f>IF(A58="","",A58/$B$8)</f>
        <v/>
      </c>
      <c r="C58" s="17">
        <f>IF(A58="","",IF(A58&lt;$E$8,$E$7,$E$7+$B$5))</f>
        <v/>
      </c>
      <c r="D58" s="18">
        <f>IF(A58="","",$E$9^(-$B$10*B58))</f>
        <v/>
      </c>
      <c r="E58" s="17">
        <f>IF(A58="","",C58*D58)</f>
        <v/>
      </c>
    </row>
    <row r="59">
      <c r="A59" s="15">
        <f>IF(41&lt;= $E$8, 41, "")</f>
        <v/>
      </c>
      <c r="B59" s="16">
        <f>IF(A59="","",A59/$B$8)</f>
        <v/>
      </c>
      <c r="C59" s="17">
        <f>IF(A59="","",IF(A59&lt;$E$8,$E$7,$E$7+$B$5))</f>
        <v/>
      </c>
      <c r="D59" s="18">
        <f>IF(A59="","",$E$9^(-$B$10*B59))</f>
        <v/>
      </c>
      <c r="E59" s="17">
        <f>IF(A59="","",C59*D59)</f>
        <v/>
      </c>
    </row>
    <row r="60">
      <c r="A60" s="15">
        <f>IF(42&lt;= $E$8, 42, "")</f>
        <v/>
      </c>
      <c r="B60" s="16">
        <f>IF(A60="","",A60/$B$8)</f>
        <v/>
      </c>
      <c r="C60" s="17">
        <f>IF(A60="","",IF(A60&lt;$E$8,$E$7,$E$7+$B$5))</f>
        <v/>
      </c>
      <c r="D60" s="18">
        <f>IF(A60="","",$E$9^(-$B$10*B60))</f>
        <v/>
      </c>
      <c r="E60" s="17">
        <f>IF(A60="","",C60*D60)</f>
        <v/>
      </c>
    </row>
    <row r="61">
      <c r="A61" s="15">
        <f>IF(43&lt;= $E$8, 43, "")</f>
        <v/>
      </c>
      <c r="B61" s="16">
        <f>IF(A61="","",A61/$B$8)</f>
        <v/>
      </c>
      <c r="C61" s="17">
        <f>IF(A61="","",IF(A61&lt;$E$8,$E$7,$E$7+$B$5))</f>
        <v/>
      </c>
      <c r="D61" s="18">
        <f>IF(A61="","",$E$9^(-$B$10*B61))</f>
        <v/>
      </c>
      <c r="E61" s="17">
        <f>IF(A61="","",C61*D61)</f>
        <v/>
      </c>
    </row>
    <row r="62">
      <c r="A62" s="15">
        <f>IF(44&lt;= $E$8, 44, "")</f>
        <v/>
      </c>
      <c r="B62" s="16">
        <f>IF(A62="","",A62/$B$8)</f>
        <v/>
      </c>
      <c r="C62" s="17">
        <f>IF(A62="","",IF(A62&lt;$E$8,$E$7,$E$7+$B$5))</f>
        <v/>
      </c>
      <c r="D62" s="18">
        <f>IF(A62="","",$E$9^(-$B$10*B62))</f>
        <v/>
      </c>
      <c r="E62" s="17">
        <f>IF(A62="","",C62*D62)</f>
        <v/>
      </c>
    </row>
    <row r="63">
      <c r="A63" s="15">
        <f>IF(45&lt;= $E$8, 45, "")</f>
        <v/>
      </c>
      <c r="B63" s="16">
        <f>IF(A63="","",A63/$B$8)</f>
        <v/>
      </c>
      <c r="C63" s="17">
        <f>IF(A63="","",IF(A63&lt;$E$8,$E$7,$E$7+$B$5))</f>
        <v/>
      </c>
      <c r="D63" s="18">
        <f>IF(A63="","",$E$9^(-$B$10*B63))</f>
        <v/>
      </c>
      <c r="E63" s="17">
        <f>IF(A63="","",C63*D63)</f>
        <v/>
      </c>
    </row>
    <row r="64">
      <c r="A64" s="15">
        <f>IF(46&lt;= $E$8, 46, "")</f>
        <v/>
      </c>
      <c r="B64" s="16">
        <f>IF(A64="","",A64/$B$8)</f>
        <v/>
      </c>
      <c r="C64" s="17">
        <f>IF(A64="","",IF(A64&lt;$E$8,$E$7,$E$7+$B$5))</f>
        <v/>
      </c>
      <c r="D64" s="18">
        <f>IF(A64="","",$E$9^(-$B$10*B64))</f>
        <v/>
      </c>
      <c r="E64" s="17">
        <f>IF(A64="","",C64*D64)</f>
        <v/>
      </c>
    </row>
    <row r="65">
      <c r="A65" s="15">
        <f>IF(47&lt;= $E$8, 47, "")</f>
        <v/>
      </c>
      <c r="B65" s="16">
        <f>IF(A65="","",A65/$B$8)</f>
        <v/>
      </c>
      <c r="C65" s="17">
        <f>IF(A65="","",IF(A65&lt;$E$8,$E$7,$E$7+$B$5))</f>
        <v/>
      </c>
      <c r="D65" s="18">
        <f>IF(A65="","",$E$9^(-$B$10*B65))</f>
        <v/>
      </c>
      <c r="E65" s="17">
        <f>IF(A65="","",C65*D65)</f>
        <v/>
      </c>
    </row>
    <row r="66">
      <c r="A66" s="15">
        <f>IF(48&lt;= $E$8, 48, "")</f>
        <v/>
      </c>
      <c r="B66" s="16">
        <f>IF(A66="","",A66/$B$8)</f>
        <v/>
      </c>
      <c r="C66" s="17">
        <f>IF(A66="","",IF(A66&lt;$E$8,$E$7,$E$7+$B$5))</f>
        <v/>
      </c>
      <c r="D66" s="18">
        <f>IF(A66="","",$E$9^(-$B$10*B66))</f>
        <v/>
      </c>
      <c r="E66" s="17">
        <f>IF(A66="","",C66*D66)</f>
        <v/>
      </c>
    </row>
    <row r="67">
      <c r="A67" s="15">
        <f>IF(49&lt;= $E$8, 49, "")</f>
        <v/>
      </c>
      <c r="B67" s="16">
        <f>IF(A67="","",A67/$B$8)</f>
        <v/>
      </c>
      <c r="C67" s="17">
        <f>IF(A67="","",IF(A67&lt;$E$8,$E$7,$E$7+$B$5))</f>
        <v/>
      </c>
      <c r="D67" s="18">
        <f>IF(A67="","",$E$9^(-$B$10*B67))</f>
        <v/>
      </c>
      <c r="E67" s="17">
        <f>IF(A67="","",C67*D67)</f>
        <v/>
      </c>
    </row>
    <row r="68">
      <c r="A68" s="15">
        <f>IF(50&lt;= $E$8, 50, "")</f>
        <v/>
      </c>
      <c r="B68" s="16">
        <f>IF(A68="","",A68/$B$8)</f>
        <v/>
      </c>
      <c r="C68" s="17">
        <f>IF(A68="","",IF(A68&lt;$E$8,$E$7,$E$7+$B$5))</f>
        <v/>
      </c>
      <c r="D68" s="18">
        <f>IF(A68="","",$E$9^(-$B$10*B68))</f>
        <v/>
      </c>
      <c r="E68" s="17">
        <f>IF(A68="","",C68*D68)</f>
        <v/>
      </c>
    </row>
    <row r="69">
      <c r="A69" s="15">
        <f>IF(51&lt;= $E$8, 51, "")</f>
        <v/>
      </c>
      <c r="B69" s="16">
        <f>IF(A69="","",A69/$B$8)</f>
        <v/>
      </c>
      <c r="C69" s="17">
        <f>IF(A69="","",IF(A69&lt;$E$8,$E$7,$E$7+$B$5))</f>
        <v/>
      </c>
      <c r="D69" s="18">
        <f>IF(A69="","",$E$9^(-$B$10*B69))</f>
        <v/>
      </c>
      <c r="E69" s="17">
        <f>IF(A69="","",C69*D69)</f>
        <v/>
      </c>
    </row>
    <row r="70">
      <c r="A70" s="15">
        <f>IF(52&lt;= $E$8, 52, "")</f>
        <v/>
      </c>
      <c r="B70" s="16">
        <f>IF(A70="","",A70/$B$8)</f>
        <v/>
      </c>
      <c r="C70" s="17">
        <f>IF(A70="","",IF(A70&lt;$E$8,$E$7,$E$7+$B$5))</f>
        <v/>
      </c>
      <c r="D70" s="18">
        <f>IF(A70="","",$E$9^(-$B$10*B70))</f>
        <v/>
      </c>
      <c r="E70" s="17">
        <f>IF(A70="","",C70*D70)</f>
        <v/>
      </c>
    </row>
    <row r="71">
      <c r="A71" s="15">
        <f>IF(53&lt;= $E$8, 53, "")</f>
        <v/>
      </c>
      <c r="B71" s="16">
        <f>IF(A71="","",A71/$B$8)</f>
        <v/>
      </c>
      <c r="C71" s="17">
        <f>IF(A71="","",IF(A71&lt;$E$8,$E$7,$E$7+$B$5))</f>
        <v/>
      </c>
      <c r="D71" s="18">
        <f>IF(A71="","",$E$9^(-$B$10*B71))</f>
        <v/>
      </c>
      <c r="E71" s="17">
        <f>IF(A71="","",C71*D71)</f>
        <v/>
      </c>
    </row>
    <row r="72">
      <c r="A72" s="15">
        <f>IF(54&lt;= $E$8, 54, "")</f>
        <v/>
      </c>
      <c r="B72" s="16">
        <f>IF(A72="","",A72/$B$8)</f>
        <v/>
      </c>
      <c r="C72" s="17">
        <f>IF(A72="","",IF(A72&lt;$E$8,$E$7,$E$7+$B$5))</f>
        <v/>
      </c>
      <c r="D72" s="18">
        <f>IF(A72="","",$E$9^(-$B$10*B72))</f>
        <v/>
      </c>
      <c r="E72" s="17">
        <f>IF(A72="","",C72*D72)</f>
        <v/>
      </c>
    </row>
    <row r="73">
      <c r="A73" s="15">
        <f>IF(55&lt;= $E$8, 55, "")</f>
        <v/>
      </c>
      <c r="B73" s="16">
        <f>IF(A73="","",A73/$B$8)</f>
        <v/>
      </c>
      <c r="C73" s="17">
        <f>IF(A73="","",IF(A73&lt;$E$8,$E$7,$E$7+$B$5))</f>
        <v/>
      </c>
      <c r="D73" s="18">
        <f>IF(A73="","",$E$9^(-$B$10*B73))</f>
        <v/>
      </c>
      <c r="E73" s="17">
        <f>IF(A73="","",C73*D73)</f>
        <v/>
      </c>
    </row>
    <row r="74">
      <c r="A74" s="15">
        <f>IF(56&lt;= $E$8, 56, "")</f>
        <v/>
      </c>
      <c r="B74" s="16">
        <f>IF(A74="","",A74/$B$8)</f>
        <v/>
      </c>
      <c r="C74" s="17">
        <f>IF(A74="","",IF(A74&lt;$E$8,$E$7,$E$7+$B$5))</f>
        <v/>
      </c>
      <c r="D74" s="18">
        <f>IF(A74="","",$E$9^(-$B$10*B74))</f>
        <v/>
      </c>
      <c r="E74" s="17">
        <f>IF(A74="","",C74*D74)</f>
        <v/>
      </c>
    </row>
    <row r="75">
      <c r="A75" s="15">
        <f>IF(57&lt;= $E$8, 57, "")</f>
        <v/>
      </c>
      <c r="B75" s="16">
        <f>IF(A75="","",A75/$B$8)</f>
        <v/>
      </c>
      <c r="C75" s="17">
        <f>IF(A75="","",IF(A75&lt;$E$8,$E$7,$E$7+$B$5))</f>
        <v/>
      </c>
      <c r="D75" s="18">
        <f>IF(A75="","",$E$9^(-$B$10*B75))</f>
        <v/>
      </c>
      <c r="E75" s="17">
        <f>IF(A75="","",C75*D75)</f>
        <v/>
      </c>
    </row>
    <row r="76">
      <c r="A76" s="15">
        <f>IF(58&lt;= $E$8, 58, "")</f>
        <v/>
      </c>
      <c r="B76" s="16">
        <f>IF(A76="","",A76/$B$8)</f>
        <v/>
      </c>
      <c r="C76" s="17">
        <f>IF(A76="","",IF(A76&lt;$E$8,$E$7,$E$7+$B$5))</f>
        <v/>
      </c>
      <c r="D76" s="18">
        <f>IF(A76="","",$E$9^(-$B$10*B76))</f>
        <v/>
      </c>
      <c r="E76" s="17">
        <f>IF(A76="","",C76*D76)</f>
        <v/>
      </c>
    </row>
    <row r="77">
      <c r="A77" s="15">
        <f>IF(59&lt;= $E$8, 59, "")</f>
        <v/>
      </c>
      <c r="B77" s="16">
        <f>IF(A77="","",A77/$B$8)</f>
        <v/>
      </c>
      <c r="C77" s="17">
        <f>IF(A77="","",IF(A77&lt;$E$8,$E$7,$E$7+$B$5))</f>
        <v/>
      </c>
      <c r="D77" s="18">
        <f>IF(A77="","",$E$9^(-$B$10*B77))</f>
        <v/>
      </c>
      <c r="E77" s="17">
        <f>IF(A77="","",C77*D77)</f>
        <v/>
      </c>
    </row>
    <row r="78">
      <c r="A78" s="15">
        <f>IF(60&lt;= $E$8, 60, "")</f>
        <v/>
      </c>
      <c r="B78" s="16">
        <f>IF(A78="","",A78/$B$8)</f>
        <v/>
      </c>
      <c r="C78" s="17">
        <f>IF(A78="","",IF(A78&lt;$E$8,$E$7,$E$7+$B$5))</f>
        <v/>
      </c>
      <c r="D78" s="18">
        <f>IF(A78="","",$E$9^(-$B$10*B78))</f>
        <v/>
      </c>
      <c r="E78" s="17">
        <f>IF(A78="","",C78*D78)</f>
        <v/>
      </c>
    </row>
    <row r="79">
      <c r="A79" s="15">
        <f>IF(61&lt;= $E$8, 61, "")</f>
        <v/>
      </c>
      <c r="B79" s="16">
        <f>IF(A79="","",A79/$B$8)</f>
        <v/>
      </c>
      <c r="C79" s="17">
        <f>IF(A79="","",IF(A79&lt;$E$8,$E$7,$E$7+$B$5))</f>
        <v/>
      </c>
      <c r="D79" s="18">
        <f>IF(A79="","",$E$9^(-$B$10*B79))</f>
        <v/>
      </c>
      <c r="E79" s="17">
        <f>IF(A79="","",C79*D79)</f>
        <v/>
      </c>
    </row>
    <row r="80">
      <c r="A80" s="15">
        <f>IF(62&lt;= $E$8, 62, "")</f>
        <v/>
      </c>
      <c r="B80" s="16">
        <f>IF(A80="","",A80/$B$8)</f>
        <v/>
      </c>
      <c r="C80" s="17">
        <f>IF(A80="","",IF(A80&lt;$E$8,$E$7,$E$7+$B$5))</f>
        <v/>
      </c>
      <c r="D80" s="18">
        <f>IF(A80="","",$E$9^(-$B$10*B80))</f>
        <v/>
      </c>
      <c r="E80" s="17">
        <f>IF(A80="","",C80*D80)</f>
        <v/>
      </c>
    </row>
    <row r="81">
      <c r="A81" s="15">
        <f>IF(63&lt;= $E$8, 63, "")</f>
        <v/>
      </c>
      <c r="B81" s="16">
        <f>IF(A81="","",A81/$B$8)</f>
        <v/>
      </c>
      <c r="C81" s="17">
        <f>IF(A81="","",IF(A81&lt;$E$8,$E$7,$E$7+$B$5))</f>
        <v/>
      </c>
      <c r="D81" s="18">
        <f>IF(A81="","",$E$9^(-$B$10*B81))</f>
        <v/>
      </c>
      <c r="E81" s="17">
        <f>IF(A81="","",C81*D81)</f>
        <v/>
      </c>
    </row>
    <row r="82">
      <c r="A82" s="15">
        <f>IF(64&lt;= $E$8, 64, "")</f>
        <v/>
      </c>
      <c r="B82" s="16">
        <f>IF(A82="","",A82/$B$8)</f>
        <v/>
      </c>
      <c r="C82" s="17">
        <f>IF(A82="","",IF(A82&lt;$E$8,$E$7,$E$7+$B$5))</f>
        <v/>
      </c>
      <c r="D82" s="18">
        <f>IF(A82="","",$E$9^(-$B$10*B82))</f>
        <v/>
      </c>
      <c r="E82" s="17">
        <f>IF(A82="","",C82*D82)</f>
        <v/>
      </c>
    </row>
    <row r="83">
      <c r="A83" s="15">
        <f>IF(65&lt;= $E$8, 65, "")</f>
        <v/>
      </c>
      <c r="B83" s="16">
        <f>IF(A83="","",A83/$B$8)</f>
        <v/>
      </c>
      <c r="C83" s="17">
        <f>IF(A83="","",IF(A83&lt;$E$8,$E$7,$E$7+$B$5))</f>
        <v/>
      </c>
      <c r="D83" s="18">
        <f>IF(A83="","",$E$9^(-$B$10*B83))</f>
        <v/>
      </c>
      <c r="E83" s="17">
        <f>IF(A83="","",C83*D83)</f>
        <v/>
      </c>
    </row>
    <row r="84">
      <c r="A84" s="15">
        <f>IF(66&lt;= $E$8, 66, "")</f>
        <v/>
      </c>
      <c r="B84" s="16">
        <f>IF(A84="","",A84/$B$8)</f>
        <v/>
      </c>
      <c r="C84" s="17">
        <f>IF(A84="","",IF(A84&lt;$E$8,$E$7,$E$7+$B$5))</f>
        <v/>
      </c>
      <c r="D84" s="18">
        <f>IF(A84="","",$E$9^(-$B$10*B84))</f>
        <v/>
      </c>
      <c r="E84" s="17">
        <f>IF(A84="","",C84*D84)</f>
        <v/>
      </c>
    </row>
    <row r="85">
      <c r="A85" s="15">
        <f>IF(67&lt;= $E$8, 67, "")</f>
        <v/>
      </c>
      <c r="B85" s="16">
        <f>IF(A85="","",A85/$B$8)</f>
        <v/>
      </c>
      <c r="C85" s="17">
        <f>IF(A85="","",IF(A85&lt;$E$8,$E$7,$E$7+$B$5))</f>
        <v/>
      </c>
      <c r="D85" s="18">
        <f>IF(A85="","",$E$9^(-$B$10*B85))</f>
        <v/>
      </c>
      <c r="E85" s="17">
        <f>IF(A85="","",C85*D85)</f>
        <v/>
      </c>
    </row>
    <row r="86">
      <c r="A86" s="15">
        <f>IF(68&lt;= $E$8, 68, "")</f>
        <v/>
      </c>
      <c r="B86" s="16">
        <f>IF(A86="","",A86/$B$8)</f>
        <v/>
      </c>
      <c r="C86" s="17">
        <f>IF(A86="","",IF(A86&lt;$E$8,$E$7,$E$7+$B$5))</f>
        <v/>
      </c>
      <c r="D86" s="18">
        <f>IF(A86="","",$E$9^(-$B$10*B86))</f>
        <v/>
      </c>
      <c r="E86" s="17">
        <f>IF(A86="","",C86*D86)</f>
        <v/>
      </c>
    </row>
    <row r="87">
      <c r="A87" s="15">
        <f>IF(69&lt;= $E$8, 69, "")</f>
        <v/>
      </c>
      <c r="B87" s="16">
        <f>IF(A87="","",A87/$B$8)</f>
        <v/>
      </c>
      <c r="C87" s="17">
        <f>IF(A87="","",IF(A87&lt;$E$8,$E$7,$E$7+$B$5))</f>
        <v/>
      </c>
      <c r="D87" s="18">
        <f>IF(A87="","",$E$9^(-$B$10*B87))</f>
        <v/>
      </c>
      <c r="E87" s="17">
        <f>IF(A87="","",C87*D87)</f>
        <v/>
      </c>
    </row>
    <row r="88">
      <c r="A88" s="15">
        <f>IF(70&lt;= $E$8, 70, "")</f>
        <v/>
      </c>
      <c r="B88" s="16">
        <f>IF(A88="","",A88/$B$8)</f>
        <v/>
      </c>
      <c r="C88" s="17">
        <f>IF(A88="","",IF(A88&lt;$E$8,$E$7,$E$7+$B$5))</f>
        <v/>
      </c>
      <c r="D88" s="18">
        <f>IF(A88="","",$E$9^(-$B$10*B88))</f>
        <v/>
      </c>
      <c r="E88" s="17">
        <f>IF(A88="","",C88*D88)</f>
        <v/>
      </c>
    </row>
    <row r="89">
      <c r="A89" s="15">
        <f>IF(71&lt;= $E$8, 71, "")</f>
        <v/>
      </c>
      <c r="B89" s="16">
        <f>IF(A89="","",A89/$B$8)</f>
        <v/>
      </c>
      <c r="C89" s="17">
        <f>IF(A89="","",IF(A89&lt;$E$8,$E$7,$E$7+$B$5))</f>
        <v/>
      </c>
      <c r="D89" s="18">
        <f>IF(A89="","",$E$9^(-$B$10*B89))</f>
        <v/>
      </c>
      <c r="E89" s="17">
        <f>IF(A89="","",C89*D89)</f>
        <v/>
      </c>
    </row>
    <row r="90">
      <c r="A90" s="15">
        <f>IF(72&lt;= $E$8, 72, "")</f>
        <v/>
      </c>
      <c r="B90" s="16">
        <f>IF(A90="","",A90/$B$8)</f>
        <v/>
      </c>
      <c r="C90" s="17">
        <f>IF(A90="","",IF(A90&lt;$E$8,$E$7,$E$7+$B$5))</f>
        <v/>
      </c>
      <c r="D90" s="18">
        <f>IF(A90="","",$E$9^(-$B$10*B90))</f>
        <v/>
      </c>
      <c r="E90" s="17">
        <f>IF(A90="","",C90*D90)</f>
        <v/>
      </c>
    </row>
    <row r="91">
      <c r="A91" s="15">
        <f>IF(73&lt;= $E$8, 73, "")</f>
        <v/>
      </c>
      <c r="B91" s="16">
        <f>IF(A91="","",A91/$B$8)</f>
        <v/>
      </c>
      <c r="C91" s="17">
        <f>IF(A91="","",IF(A91&lt;$E$8,$E$7,$E$7+$B$5))</f>
        <v/>
      </c>
      <c r="D91" s="18">
        <f>IF(A91="","",$E$9^(-$B$10*B91))</f>
        <v/>
      </c>
      <c r="E91" s="17">
        <f>IF(A91="","",C91*D91)</f>
        <v/>
      </c>
    </row>
    <row r="92">
      <c r="A92" s="15">
        <f>IF(74&lt;= $E$8, 74, "")</f>
        <v/>
      </c>
      <c r="B92" s="16">
        <f>IF(A92="","",A92/$B$8)</f>
        <v/>
      </c>
      <c r="C92" s="17">
        <f>IF(A92="","",IF(A92&lt;$E$8,$E$7,$E$7+$B$5))</f>
        <v/>
      </c>
      <c r="D92" s="18">
        <f>IF(A92="","",$E$9^(-$B$10*B92))</f>
        <v/>
      </c>
      <c r="E92" s="17">
        <f>IF(A92="","",C92*D92)</f>
        <v/>
      </c>
    </row>
    <row r="93">
      <c r="A93" s="15">
        <f>IF(75&lt;= $E$8, 75, "")</f>
        <v/>
      </c>
      <c r="B93" s="16">
        <f>IF(A93="","",A93/$B$8)</f>
        <v/>
      </c>
      <c r="C93" s="17">
        <f>IF(A93="","",IF(A93&lt;$E$8,$E$7,$E$7+$B$5))</f>
        <v/>
      </c>
      <c r="D93" s="18">
        <f>IF(A93="","",$E$9^(-$B$10*B93))</f>
        <v/>
      </c>
      <c r="E93" s="17">
        <f>IF(A93="","",C93*D93)</f>
        <v/>
      </c>
    </row>
    <row r="94">
      <c r="A94" s="15">
        <f>IF(76&lt;= $E$8, 76, "")</f>
        <v/>
      </c>
      <c r="B94" s="16">
        <f>IF(A94="","",A94/$B$8)</f>
        <v/>
      </c>
      <c r="C94" s="17">
        <f>IF(A94="","",IF(A94&lt;$E$8,$E$7,$E$7+$B$5))</f>
        <v/>
      </c>
      <c r="D94" s="18">
        <f>IF(A94="","",$E$9^(-$B$10*B94))</f>
        <v/>
      </c>
      <c r="E94" s="17">
        <f>IF(A94="","",C94*D94)</f>
        <v/>
      </c>
    </row>
    <row r="95">
      <c r="A95" s="15">
        <f>IF(77&lt;= $E$8, 77, "")</f>
        <v/>
      </c>
      <c r="B95" s="16">
        <f>IF(A95="","",A95/$B$8)</f>
        <v/>
      </c>
      <c r="C95" s="17">
        <f>IF(A95="","",IF(A95&lt;$E$8,$E$7,$E$7+$B$5))</f>
        <v/>
      </c>
      <c r="D95" s="18">
        <f>IF(A95="","",$E$9^(-$B$10*B95))</f>
        <v/>
      </c>
      <c r="E95" s="17">
        <f>IF(A95="","",C95*D95)</f>
        <v/>
      </c>
    </row>
    <row r="96">
      <c r="A96" s="15">
        <f>IF(78&lt;= $E$8, 78, "")</f>
        <v/>
      </c>
      <c r="B96" s="16">
        <f>IF(A96="","",A96/$B$8)</f>
        <v/>
      </c>
      <c r="C96" s="17">
        <f>IF(A96="","",IF(A96&lt;$E$8,$E$7,$E$7+$B$5))</f>
        <v/>
      </c>
      <c r="D96" s="18">
        <f>IF(A96="","",$E$9^(-$B$10*B96))</f>
        <v/>
      </c>
      <c r="E96" s="17">
        <f>IF(A96="","",C96*D96)</f>
        <v/>
      </c>
    </row>
    <row r="97">
      <c r="A97" s="15">
        <f>IF(79&lt;= $E$8, 79, "")</f>
        <v/>
      </c>
      <c r="B97" s="16">
        <f>IF(A97="","",A97/$B$8)</f>
        <v/>
      </c>
      <c r="C97" s="17">
        <f>IF(A97="","",IF(A97&lt;$E$8,$E$7,$E$7+$B$5))</f>
        <v/>
      </c>
      <c r="D97" s="18">
        <f>IF(A97="","",$E$9^(-$B$10*B97))</f>
        <v/>
      </c>
      <c r="E97" s="17">
        <f>IF(A97="","",C97*D97)</f>
        <v/>
      </c>
    </row>
    <row r="98">
      <c r="A98" s="15">
        <f>IF(80&lt;= $E$8, 80, "")</f>
        <v/>
      </c>
      <c r="B98" s="16">
        <f>IF(A98="","",A98/$B$8)</f>
        <v/>
      </c>
      <c r="C98" s="17">
        <f>IF(A98="","",IF(A98&lt;$E$8,$E$7,$E$7+$B$5))</f>
        <v/>
      </c>
      <c r="D98" s="18">
        <f>IF(A98="","",$E$9^(-$B$10*B98))</f>
        <v/>
      </c>
      <c r="E98" s="17">
        <f>IF(A98="","",C98*D98)</f>
        <v/>
      </c>
    </row>
    <row r="99">
      <c r="A99" s="15">
        <f>IF(81&lt;= $E$8, 81, "")</f>
        <v/>
      </c>
      <c r="B99" s="16">
        <f>IF(A99="","",A99/$B$8)</f>
        <v/>
      </c>
      <c r="C99" s="17">
        <f>IF(A99="","",IF(A99&lt;$E$8,$E$7,$E$7+$B$5))</f>
        <v/>
      </c>
      <c r="D99" s="18">
        <f>IF(A99="","",$E$9^(-$B$10*B99))</f>
        <v/>
      </c>
      <c r="E99" s="17">
        <f>IF(A99="","",C99*D99)</f>
        <v/>
      </c>
    </row>
    <row r="100">
      <c r="A100" s="15">
        <f>IF(82&lt;= $E$8, 82, "")</f>
        <v/>
      </c>
      <c r="B100" s="16">
        <f>IF(A100="","",A100/$B$8)</f>
        <v/>
      </c>
      <c r="C100" s="17">
        <f>IF(A100="","",IF(A100&lt;$E$8,$E$7,$E$7+$B$5))</f>
        <v/>
      </c>
      <c r="D100" s="18">
        <f>IF(A100="","",$E$9^(-$B$10*B100))</f>
        <v/>
      </c>
      <c r="E100" s="17">
        <f>IF(A100="","",C100*D100)</f>
        <v/>
      </c>
    </row>
    <row r="101">
      <c r="A101" s="15">
        <f>IF(83&lt;= $E$8, 83, "")</f>
        <v/>
      </c>
      <c r="B101" s="16">
        <f>IF(A101="","",A101/$B$8)</f>
        <v/>
      </c>
      <c r="C101" s="17">
        <f>IF(A101="","",IF(A101&lt;$E$8,$E$7,$E$7+$B$5))</f>
        <v/>
      </c>
      <c r="D101" s="18">
        <f>IF(A101="","",$E$9^(-$B$10*B101))</f>
        <v/>
      </c>
      <c r="E101" s="17">
        <f>IF(A101="","",C101*D101)</f>
        <v/>
      </c>
    </row>
    <row r="102">
      <c r="A102" s="15">
        <f>IF(84&lt;= $E$8, 84, "")</f>
        <v/>
      </c>
      <c r="B102" s="16">
        <f>IF(A102="","",A102/$B$8)</f>
        <v/>
      </c>
      <c r="C102" s="17">
        <f>IF(A102="","",IF(A102&lt;$E$8,$E$7,$E$7+$B$5))</f>
        <v/>
      </c>
      <c r="D102" s="18">
        <f>IF(A102="","",$E$9^(-$B$10*B102))</f>
        <v/>
      </c>
      <c r="E102" s="17">
        <f>IF(A102="","",C102*D102)</f>
        <v/>
      </c>
    </row>
    <row r="103">
      <c r="A103" s="15">
        <f>IF(85&lt;= $E$8, 85, "")</f>
        <v/>
      </c>
      <c r="B103" s="16">
        <f>IF(A103="","",A103/$B$8)</f>
        <v/>
      </c>
      <c r="C103" s="17">
        <f>IF(A103="","",IF(A103&lt;$E$8,$E$7,$E$7+$B$5))</f>
        <v/>
      </c>
      <c r="D103" s="18">
        <f>IF(A103="","",$E$9^(-$B$10*B103))</f>
        <v/>
      </c>
      <c r="E103" s="17">
        <f>IF(A103="","",C103*D103)</f>
        <v/>
      </c>
    </row>
    <row r="104">
      <c r="A104" s="15">
        <f>IF(86&lt;= $E$8, 86, "")</f>
        <v/>
      </c>
      <c r="B104" s="16">
        <f>IF(A104="","",A104/$B$8)</f>
        <v/>
      </c>
      <c r="C104" s="17">
        <f>IF(A104="","",IF(A104&lt;$E$8,$E$7,$E$7+$B$5))</f>
        <v/>
      </c>
      <c r="D104" s="18">
        <f>IF(A104="","",$E$9^(-$B$10*B104))</f>
        <v/>
      </c>
      <c r="E104" s="17">
        <f>IF(A104="","",C104*D104)</f>
        <v/>
      </c>
    </row>
    <row r="105">
      <c r="A105" s="15">
        <f>IF(87&lt;= $E$8, 87, "")</f>
        <v/>
      </c>
      <c r="B105" s="16">
        <f>IF(A105="","",A105/$B$8)</f>
        <v/>
      </c>
      <c r="C105" s="17">
        <f>IF(A105="","",IF(A105&lt;$E$8,$E$7,$E$7+$B$5))</f>
        <v/>
      </c>
      <c r="D105" s="18">
        <f>IF(A105="","",$E$9^(-$B$10*B105))</f>
        <v/>
      </c>
      <c r="E105" s="17">
        <f>IF(A105="","",C105*D105)</f>
        <v/>
      </c>
    </row>
    <row r="106">
      <c r="A106" s="15">
        <f>IF(88&lt;= $E$8, 88, "")</f>
        <v/>
      </c>
      <c r="B106" s="16">
        <f>IF(A106="","",A106/$B$8)</f>
        <v/>
      </c>
      <c r="C106" s="17">
        <f>IF(A106="","",IF(A106&lt;$E$8,$E$7,$E$7+$B$5))</f>
        <v/>
      </c>
      <c r="D106" s="18">
        <f>IF(A106="","",$E$9^(-$B$10*B106))</f>
        <v/>
      </c>
      <c r="E106" s="17">
        <f>IF(A106="","",C106*D106)</f>
        <v/>
      </c>
    </row>
    <row r="107">
      <c r="A107" s="15">
        <f>IF(89&lt;= $E$8, 89, "")</f>
        <v/>
      </c>
      <c r="B107" s="16">
        <f>IF(A107="","",A107/$B$8)</f>
        <v/>
      </c>
      <c r="C107" s="17">
        <f>IF(A107="","",IF(A107&lt;$E$8,$E$7,$E$7+$B$5))</f>
        <v/>
      </c>
      <c r="D107" s="18">
        <f>IF(A107="","",$E$9^(-$B$10*B107))</f>
        <v/>
      </c>
      <c r="E107" s="17">
        <f>IF(A107="","",C107*D107)</f>
        <v/>
      </c>
    </row>
    <row r="108">
      <c r="A108" s="15">
        <f>IF(90&lt;= $E$8, 90, "")</f>
        <v/>
      </c>
      <c r="B108" s="16">
        <f>IF(A108="","",A108/$B$8)</f>
        <v/>
      </c>
      <c r="C108" s="17">
        <f>IF(A108="","",IF(A108&lt;$E$8,$E$7,$E$7+$B$5))</f>
        <v/>
      </c>
      <c r="D108" s="18">
        <f>IF(A108="","",$E$9^(-$B$10*B108))</f>
        <v/>
      </c>
      <c r="E108" s="17">
        <f>IF(A108="","",C108*D108)</f>
        <v/>
      </c>
    </row>
    <row r="109">
      <c r="A109" s="15">
        <f>IF(91&lt;= $E$8, 91, "")</f>
        <v/>
      </c>
      <c r="B109" s="16">
        <f>IF(A109="","",A109/$B$8)</f>
        <v/>
      </c>
      <c r="C109" s="17">
        <f>IF(A109="","",IF(A109&lt;$E$8,$E$7,$E$7+$B$5))</f>
        <v/>
      </c>
      <c r="D109" s="18">
        <f>IF(A109="","",$E$9^(-$B$10*B109))</f>
        <v/>
      </c>
      <c r="E109" s="17">
        <f>IF(A109="","",C109*D109)</f>
        <v/>
      </c>
    </row>
    <row r="110">
      <c r="A110" s="15">
        <f>IF(92&lt;= $E$8, 92, "")</f>
        <v/>
      </c>
      <c r="B110" s="16">
        <f>IF(A110="","",A110/$B$8)</f>
        <v/>
      </c>
      <c r="C110" s="17">
        <f>IF(A110="","",IF(A110&lt;$E$8,$E$7,$E$7+$B$5))</f>
        <v/>
      </c>
      <c r="D110" s="18">
        <f>IF(A110="","",$E$9^(-$B$10*B110))</f>
        <v/>
      </c>
      <c r="E110" s="17">
        <f>IF(A110="","",C110*D110)</f>
        <v/>
      </c>
    </row>
    <row r="111">
      <c r="A111" s="15">
        <f>IF(93&lt;= $E$8, 93, "")</f>
        <v/>
      </c>
      <c r="B111" s="16">
        <f>IF(A111="","",A111/$B$8)</f>
        <v/>
      </c>
      <c r="C111" s="17">
        <f>IF(A111="","",IF(A111&lt;$E$8,$E$7,$E$7+$B$5))</f>
        <v/>
      </c>
      <c r="D111" s="18">
        <f>IF(A111="","",$E$9^(-$B$10*B111))</f>
        <v/>
      </c>
      <c r="E111" s="17">
        <f>IF(A111="","",C111*D111)</f>
        <v/>
      </c>
    </row>
    <row r="112">
      <c r="A112" s="15">
        <f>IF(94&lt;= $E$8, 94, "")</f>
        <v/>
      </c>
      <c r="B112" s="16">
        <f>IF(A112="","",A112/$B$8)</f>
        <v/>
      </c>
      <c r="C112" s="17">
        <f>IF(A112="","",IF(A112&lt;$E$8,$E$7,$E$7+$B$5))</f>
        <v/>
      </c>
      <c r="D112" s="18">
        <f>IF(A112="","",$E$9^(-$B$10*B112))</f>
        <v/>
      </c>
      <c r="E112" s="17">
        <f>IF(A112="","",C112*D112)</f>
        <v/>
      </c>
    </row>
    <row r="113">
      <c r="A113" s="15">
        <f>IF(95&lt;= $E$8, 95, "")</f>
        <v/>
      </c>
      <c r="B113" s="16">
        <f>IF(A113="","",A113/$B$8)</f>
        <v/>
      </c>
      <c r="C113" s="17">
        <f>IF(A113="","",IF(A113&lt;$E$8,$E$7,$E$7+$B$5))</f>
        <v/>
      </c>
      <c r="D113" s="18">
        <f>IF(A113="","",$E$9^(-$B$10*B113))</f>
        <v/>
      </c>
      <c r="E113" s="17">
        <f>IF(A113="","",C113*D113)</f>
        <v/>
      </c>
    </row>
    <row r="114">
      <c r="A114" s="15">
        <f>IF(96&lt;= $E$8, 96, "")</f>
        <v/>
      </c>
      <c r="B114" s="16">
        <f>IF(A114="","",A114/$B$8)</f>
        <v/>
      </c>
      <c r="C114" s="17">
        <f>IF(A114="","",IF(A114&lt;$E$8,$E$7,$E$7+$B$5))</f>
        <v/>
      </c>
      <c r="D114" s="18">
        <f>IF(A114="","",$E$9^(-$B$10*B114))</f>
        <v/>
      </c>
      <c r="E114" s="17">
        <f>IF(A114="","",C114*D114)</f>
        <v/>
      </c>
    </row>
    <row r="115">
      <c r="A115" s="15">
        <f>IF(97&lt;= $E$8, 97, "")</f>
        <v/>
      </c>
      <c r="B115" s="16">
        <f>IF(A115="","",A115/$B$8)</f>
        <v/>
      </c>
      <c r="C115" s="17">
        <f>IF(A115="","",IF(A115&lt;$E$8,$E$7,$E$7+$B$5))</f>
        <v/>
      </c>
      <c r="D115" s="18">
        <f>IF(A115="","",$E$9^(-$B$10*B115))</f>
        <v/>
      </c>
      <c r="E115" s="17">
        <f>IF(A115="","",C115*D115)</f>
        <v/>
      </c>
    </row>
    <row r="116">
      <c r="A116" s="15">
        <f>IF(98&lt;= $E$8, 98, "")</f>
        <v/>
      </c>
      <c r="B116" s="16">
        <f>IF(A116="","",A116/$B$8)</f>
        <v/>
      </c>
      <c r="C116" s="17">
        <f>IF(A116="","",IF(A116&lt;$E$8,$E$7,$E$7+$B$5))</f>
        <v/>
      </c>
      <c r="D116" s="18">
        <f>IF(A116="","",$E$9^(-$B$10*B116))</f>
        <v/>
      </c>
      <c r="E116" s="17">
        <f>IF(A116="","",C116*D116)</f>
        <v/>
      </c>
    </row>
    <row r="117">
      <c r="A117" s="15">
        <f>IF(99&lt;= $E$8, 99, "")</f>
        <v/>
      </c>
      <c r="B117" s="16">
        <f>IF(A117="","",A117/$B$8)</f>
        <v/>
      </c>
      <c r="C117" s="17">
        <f>IF(A117="","",IF(A117&lt;$E$8,$E$7,$E$7+$B$5))</f>
        <v/>
      </c>
      <c r="D117" s="18">
        <f>IF(A117="","",$E$9^(-$B$10*B117))</f>
        <v/>
      </c>
      <c r="E117" s="17">
        <f>IF(A117="","",C117*D117)</f>
        <v/>
      </c>
    </row>
    <row r="118">
      <c r="A118" s="15">
        <f>IF(100&lt;= $E$8, 100, "")</f>
        <v/>
      </c>
      <c r="B118" s="16">
        <f>IF(A118="","",A118/$B$8)</f>
        <v/>
      </c>
      <c r="C118" s="17">
        <f>IF(A118="","",IF(A118&lt;$E$8,$E$7,$E$7+$B$5))</f>
        <v/>
      </c>
      <c r="D118" s="18">
        <f>IF(A118="","",$E$9^(-$B$10*B118))</f>
        <v/>
      </c>
      <c r="E118" s="17">
        <f>IF(A118="","",C118*D118)</f>
        <v/>
      </c>
    </row>
    <row r="119">
      <c r="A119" s="15">
        <f>IF(101&lt;= $E$8, 101, "")</f>
        <v/>
      </c>
      <c r="B119" s="16">
        <f>IF(A119="","",A119/$B$8)</f>
        <v/>
      </c>
      <c r="C119" s="17">
        <f>IF(A119="","",IF(A119&lt;$E$8,$E$7,$E$7+$B$5))</f>
        <v/>
      </c>
      <c r="D119" s="18">
        <f>IF(A119="","",$E$9^(-$B$10*B119))</f>
        <v/>
      </c>
      <c r="E119" s="17">
        <f>IF(A119="","",C119*D119)</f>
        <v/>
      </c>
    </row>
    <row r="120">
      <c r="A120" s="15">
        <f>IF(102&lt;= $E$8, 102, "")</f>
        <v/>
      </c>
      <c r="B120" s="16">
        <f>IF(A120="","",A120/$B$8)</f>
        <v/>
      </c>
      <c r="C120" s="17">
        <f>IF(A120="","",IF(A120&lt;$E$8,$E$7,$E$7+$B$5))</f>
        <v/>
      </c>
      <c r="D120" s="18">
        <f>IF(A120="","",$E$9^(-$B$10*B120))</f>
        <v/>
      </c>
      <c r="E120" s="17">
        <f>IF(A120="","",C120*D120)</f>
        <v/>
      </c>
    </row>
    <row r="121">
      <c r="A121" s="15">
        <f>IF(103&lt;= $E$8, 103, "")</f>
        <v/>
      </c>
      <c r="B121" s="16">
        <f>IF(A121="","",A121/$B$8)</f>
        <v/>
      </c>
      <c r="C121" s="17">
        <f>IF(A121="","",IF(A121&lt;$E$8,$E$7,$E$7+$B$5))</f>
        <v/>
      </c>
      <c r="D121" s="18">
        <f>IF(A121="","",$E$9^(-$B$10*B121))</f>
        <v/>
      </c>
      <c r="E121" s="17">
        <f>IF(A121="","",C121*D121)</f>
        <v/>
      </c>
    </row>
    <row r="122">
      <c r="A122" s="15">
        <f>IF(104&lt;= $E$8, 104, "")</f>
        <v/>
      </c>
      <c r="B122" s="16">
        <f>IF(A122="","",A122/$B$8)</f>
        <v/>
      </c>
      <c r="C122" s="17">
        <f>IF(A122="","",IF(A122&lt;$E$8,$E$7,$E$7+$B$5))</f>
        <v/>
      </c>
      <c r="D122" s="18">
        <f>IF(A122="","",$E$9^(-$B$10*B122))</f>
        <v/>
      </c>
      <c r="E122" s="17">
        <f>IF(A122="","",C122*D122)</f>
        <v/>
      </c>
    </row>
    <row r="123">
      <c r="A123" s="15">
        <f>IF(105&lt;= $E$8, 105, "")</f>
        <v/>
      </c>
      <c r="B123" s="16">
        <f>IF(A123="","",A123/$B$8)</f>
        <v/>
      </c>
      <c r="C123" s="17">
        <f>IF(A123="","",IF(A123&lt;$E$8,$E$7,$E$7+$B$5))</f>
        <v/>
      </c>
      <c r="D123" s="18">
        <f>IF(A123="","",$E$9^(-$B$10*B123))</f>
        <v/>
      </c>
      <c r="E123" s="17">
        <f>IF(A123="","",C123*D123)</f>
        <v/>
      </c>
    </row>
    <row r="124">
      <c r="A124" s="15">
        <f>IF(106&lt;= $E$8, 106, "")</f>
        <v/>
      </c>
      <c r="B124" s="16">
        <f>IF(A124="","",A124/$B$8)</f>
        <v/>
      </c>
      <c r="C124" s="17">
        <f>IF(A124="","",IF(A124&lt;$E$8,$E$7,$E$7+$B$5))</f>
        <v/>
      </c>
      <c r="D124" s="18">
        <f>IF(A124="","",$E$9^(-$B$10*B124))</f>
        <v/>
      </c>
      <c r="E124" s="17">
        <f>IF(A124="","",C124*D124)</f>
        <v/>
      </c>
    </row>
    <row r="125">
      <c r="A125" s="15">
        <f>IF(107&lt;= $E$8, 107, "")</f>
        <v/>
      </c>
      <c r="B125" s="16">
        <f>IF(A125="","",A125/$B$8)</f>
        <v/>
      </c>
      <c r="C125" s="17">
        <f>IF(A125="","",IF(A125&lt;$E$8,$E$7,$E$7+$B$5))</f>
        <v/>
      </c>
      <c r="D125" s="18">
        <f>IF(A125="","",$E$9^(-$B$10*B125))</f>
        <v/>
      </c>
      <c r="E125" s="17">
        <f>IF(A125="","",C125*D125)</f>
        <v/>
      </c>
    </row>
    <row r="126">
      <c r="A126" s="15">
        <f>IF(108&lt;= $E$8, 108, "")</f>
        <v/>
      </c>
      <c r="B126" s="16">
        <f>IF(A126="","",A126/$B$8)</f>
        <v/>
      </c>
      <c r="C126" s="17">
        <f>IF(A126="","",IF(A126&lt;$E$8,$E$7,$E$7+$B$5))</f>
        <v/>
      </c>
      <c r="D126" s="18">
        <f>IF(A126="","",$E$9^(-$B$10*B126))</f>
        <v/>
      </c>
      <c r="E126" s="17">
        <f>IF(A126="","",C126*D126)</f>
        <v/>
      </c>
    </row>
    <row r="127">
      <c r="A127" s="15">
        <f>IF(109&lt;= $E$8, 109, "")</f>
        <v/>
      </c>
      <c r="B127" s="16">
        <f>IF(A127="","",A127/$B$8)</f>
        <v/>
      </c>
      <c r="C127" s="17">
        <f>IF(A127="","",IF(A127&lt;$E$8,$E$7,$E$7+$B$5))</f>
        <v/>
      </c>
      <c r="D127" s="18">
        <f>IF(A127="","",$E$9^(-$B$10*B127))</f>
        <v/>
      </c>
      <c r="E127" s="17">
        <f>IF(A127="","",C127*D127)</f>
        <v/>
      </c>
    </row>
    <row r="128">
      <c r="A128" s="15">
        <f>IF(110&lt;= $E$8, 110, "")</f>
        <v/>
      </c>
      <c r="B128" s="16">
        <f>IF(A128="","",A128/$B$8)</f>
        <v/>
      </c>
      <c r="C128" s="17">
        <f>IF(A128="","",IF(A128&lt;$E$8,$E$7,$E$7+$B$5))</f>
        <v/>
      </c>
      <c r="D128" s="18">
        <f>IF(A128="","",$E$9^(-$B$10*B128))</f>
        <v/>
      </c>
      <c r="E128" s="17">
        <f>IF(A128="","",C128*D128)</f>
        <v/>
      </c>
    </row>
    <row r="129">
      <c r="A129" s="15">
        <f>IF(111&lt;= $E$8, 111, "")</f>
        <v/>
      </c>
      <c r="B129" s="16">
        <f>IF(A129="","",A129/$B$8)</f>
        <v/>
      </c>
      <c r="C129" s="17">
        <f>IF(A129="","",IF(A129&lt;$E$8,$E$7,$E$7+$B$5))</f>
        <v/>
      </c>
      <c r="D129" s="18">
        <f>IF(A129="","",$E$9^(-$B$10*B129))</f>
        <v/>
      </c>
      <c r="E129" s="17">
        <f>IF(A129="","",C129*D129)</f>
        <v/>
      </c>
    </row>
    <row r="130">
      <c r="A130" s="15">
        <f>IF(112&lt;= $E$8, 112, "")</f>
        <v/>
      </c>
      <c r="B130" s="16">
        <f>IF(A130="","",A130/$B$8)</f>
        <v/>
      </c>
      <c r="C130" s="17">
        <f>IF(A130="","",IF(A130&lt;$E$8,$E$7,$E$7+$B$5))</f>
        <v/>
      </c>
      <c r="D130" s="18">
        <f>IF(A130="","",$E$9^(-$B$10*B130))</f>
        <v/>
      </c>
      <c r="E130" s="17">
        <f>IF(A130="","",C130*D130)</f>
        <v/>
      </c>
    </row>
    <row r="131">
      <c r="A131" s="15">
        <f>IF(113&lt;= $E$8, 113, "")</f>
        <v/>
      </c>
      <c r="B131" s="16">
        <f>IF(A131="","",A131/$B$8)</f>
        <v/>
      </c>
      <c r="C131" s="17">
        <f>IF(A131="","",IF(A131&lt;$E$8,$E$7,$E$7+$B$5))</f>
        <v/>
      </c>
      <c r="D131" s="18">
        <f>IF(A131="","",$E$9^(-$B$10*B131))</f>
        <v/>
      </c>
      <c r="E131" s="17">
        <f>IF(A131="","",C131*D131)</f>
        <v/>
      </c>
    </row>
    <row r="132">
      <c r="A132" s="15">
        <f>IF(114&lt;= $E$8, 114, "")</f>
        <v/>
      </c>
      <c r="B132" s="16">
        <f>IF(A132="","",A132/$B$8)</f>
        <v/>
      </c>
      <c r="C132" s="17">
        <f>IF(A132="","",IF(A132&lt;$E$8,$E$7,$E$7+$B$5))</f>
        <v/>
      </c>
      <c r="D132" s="18">
        <f>IF(A132="","",$E$9^(-$B$10*B132))</f>
        <v/>
      </c>
      <c r="E132" s="17">
        <f>IF(A132="","",C132*D132)</f>
        <v/>
      </c>
    </row>
    <row r="133">
      <c r="A133" s="15">
        <f>IF(115&lt;= $E$8, 115, "")</f>
        <v/>
      </c>
      <c r="B133" s="16">
        <f>IF(A133="","",A133/$B$8)</f>
        <v/>
      </c>
      <c r="C133" s="17">
        <f>IF(A133="","",IF(A133&lt;$E$8,$E$7,$E$7+$B$5))</f>
        <v/>
      </c>
      <c r="D133" s="18">
        <f>IF(A133="","",$E$9^(-$B$10*B133))</f>
        <v/>
      </c>
      <c r="E133" s="17">
        <f>IF(A133="","",C133*D133)</f>
        <v/>
      </c>
    </row>
    <row r="134">
      <c r="A134" s="15">
        <f>IF(116&lt;= $E$8, 116, "")</f>
        <v/>
      </c>
      <c r="B134" s="16">
        <f>IF(A134="","",A134/$B$8)</f>
        <v/>
      </c>
      <c r="C134" s="17">
        <f>IF(A134="","",IF(A134&lt;$E$8,$E$7,$E$7+$B$5))</f>
        <v/>
      </c>
      <c r="D134" s="18">
        <f>IF(A134="","",$E$9^(-$B$10*B134))</f>
        <v/>
      </c>
      <c r="E134" s="17">
        <f>IF(A134="","",C134*D134)</f>
        <v/>
      </c>
    </row>
    <row r="135">
      <c r="A135" s="15">
        <f>IF(117&lt;= $E$8, 117, "")</f>
        <v/>
      </c>
      <c r="B135" s="16">
        <f>IF(A135="","",A135/$B$8)</f>
        <v/>
      </c>
      <c r="C135" s="17">
        <f>IF(A135="","",IF(A135&lt;$E$8,$E$7,$E$7+$B$5))</f>
        <v/>
      </c>
      <c r="D135" s="18">
        <f>IF(A135="","",$E$9^(-$B$10*B135))</f>
        <v/>
      </c>
      <c r="E135" s="17">
        <f>IF(A135="","",C135*D135)</f>
        <v/>
      </c>
    </row>
    <row r="136">
      <c r="A136" s="15">
        <f>IF(118&lt;= $E$8, 118, "")</f>
        <v/>
      </c>
      <c r="B136" s="16">
        <f>IF(A136="","",A136/$B$8)</f>
        <v/>
      </c>
      <c r="C136" s="17">
        <f>IF(A136="","",IF(A136&lt;$E$8,$E$7,$E$7+$B$5))</f>
        <v/>
      </c>
      <c r="D136" s="18">
        <f>IF(A136="","",$E$9^(-$B$10*B136))</f>
        <v/>
      </c>
      <c r="E136" s="17">
        <f>IF(A136="","",C136*D136)</f>
        <v/>
      </c>
    </row>
    <row r="137">
      <c r="A137" s="15">
        <f>IF(119&lt;= $E$8, 119, "")</f>
        <v/>
      </c>
      <c r="B137" s="16">
        <f>IF(A137="","",A137/$B$8)</f>
        <v/>
      </c>
      <c r="C137" s="17">
        <f>IF(A137="","",IF(A137&lt;$E$8,$E$7,$E$7+$B$5))</f>
        <v/>
      </c>
      <c r="D137" s="18">
        <f>IF(A137="","",$E$9^(-$B$10*B137))</f>
        <v/>
      </c>
      <c r="E137" s="17">
        <f>IF(A137="","",C137*D137)</f>
        <v/>
      </c>
    </row>
    <row r="138">
      <c r="A138" s="15">
        <f>IF(120&lt;= $E$8, 120, "")</f>
        <v/>
      </c>
      <c r="B138" s="16">
        <f>IF(A138="","",A138/$B$8)</f>
        <v/>
      </c>
      <c r="C138" s="17">
        <f>IF(A138="","",IF(A138&lt;$E$8,$E$7,$E$7+$B$5))</f>
        <v/>
      </c>
      <c r="D138" s="18">
        <f>IF(A138="","",$E$9^(-$B$10*B138))</f>
        <v/>
      </c>
      <c r="E138" s="17">
        <f>IF(A138="","",C138*D138)</f>
        <v/>
      </c>
    </row>
    <row r="139">
      <c r="A139" s="15">
        <f>IF(121&lt;= $E$8, 121, "")</f>
        <v/>
      </c>
      <c r="B139" s="16">
        <f>IF(A139="","",A139/$B$8)</f>
        <v/>
      </c>
      <c r="C139" s="17">
        <f>IF(A139="","",IF(A139&lt;$E$8,$E$7,$E$7+$B$5))</f>
        <v/>
      </c>
      <c r="D139" s="18">
        <f>IF(A139="","",$E$9^(-$B$10*B139))</f>
        <v/>
      </c>
      <c r="E139" s="17">
        <f>IF(A139="","",C139*D139)</f>
        <v/>
      </c>
    </row>
    <row r="140">
      <c r="A140" s="15">
        <f>IF(122&lt;= $E$8, 122, "")</f>
        <v/>
      </c>
      <c r="B140" s="16">
        <f>IF(A140="","",A140/$B$8)</f>
        <v/>
      </c>
      <c r="C140" s="17">
        <f>IF(A140="","",IF(A140&lt;$E$8,$E$7,$E$7+$B$5))</f>
        <v/>
      </c>
      <c r="D140" s="18">
        <f>IF(A140="","",$E$9^(-$B$10*B140))</f>
        <v/>
      </c>
      <c r="E140" s="17">
        <f>IF(A140="","",C140*D140)</f>
        <v/>
      </c>
    </row>
    <row r="141">
      <c r="A141" s="15">
        <f>IF(123&lt;= $E$8, 123, "")</f>
        <v/>
      </c>
      <c r="B141" s="16">
        <f>IF(A141="","",A141/$B$8)</f>
        <v/>
      </c>
      <c r="C141" s="17">
        <f>IF(A141="","",IF(A141&lt;$E$8,$E$7,$E$7+$B$5))</f>
        <v/>
      </c>
      <c r="D141" s="18">
        <f>IF(A141="","",$E$9^(-$B$10*B141))</f>
        <v/>
      </c>
      <c r="E141" s="17">
        <f>IF(A141="","",C141*D141)</f>
        <v/>
      </c>
    </row>
    <row r="142">
      <c r="A142" s="15">
        <f>IF(124&lt;= $E$8, 124, "")</f>
        <v/>
      </c>
      <c r="B142" s="16">
        <f>IF(A142="","",A142/$B$8)</f>
        <v/>
      </c>
      <c r="C142" s="17">
        <f>IF(A142="","",IF(A142&lt;$E$8,$E$7,$E$7+$B$5))</f>
        <v/>
      </c>
      <c r="D142" s="18">
        <f>IF(A142="","",$E$9^(-$B$10*B142))</f>
        <v/>
      </c>
      <c r="E142" s="17">
        <f>IF(A142="","",C142*D142)</f>
        <v/>
      </c>
    </row>
    <row r="143">
      <c r="A143" s="15">
        <f>IF(125&lt;= $E$8, 125, "")</f>
        <v/>
      </c>
      <c r="B143" s="16">
        <f>IF(A143="","",A143/$B$8)</f>
        <v/>
      </c>
      <c r="C143" s="17">
        <f>IF(A143="","",IF(A143&lt;$E$8,$E$7,$E$7+$B$5))</f>
        <v/>
      </c>
      <c r="D143" s="18">
        <f>IF(A143="","",$E$9^(-$B$10*B143))</f>
        <v/>
      </c>
      <c r="E143" s="17">
        <f>IF(A143="","",C143*D143)</f>
        <v/>
      </c>
    </row>
    <row r="144">
      <c r="A144" s="15">
        <f>IF(126&lt;= $E$8, 126, "")</f>
        <v/>
      </c>
      <c r="B144" s="16">
        <f>IF(A144="","",A144/$B$8)</f>
        <v/>
      </c>
      <c r="C144" s="17">
        <f>IF(A144="","",IF(A144&lt;$E$8,$E$7,$E$7+$B$5))</f>
        <v/>
      </c>
      <c r="D144" s="18">
        <f>IF(A144="","",$E$9^(-$B$10*B144))</f>
        <v/>
      </c>
      <c r="E144" s="17">
        <f>IF(A144="","",C144*D144)</f>
        <v/>
      </c>
    </row>
    <row r="145">
      <c r="A145" s="15">
        <f>IF(127&lt;= $E$8, 127, "")</f>
        <v/>
      </c>
      <c r="B145" s="16">
        <f>IF(A145="","",A145/$B$8)</f>
        <v/>
      </c>
      <c r="C145" s="17">
        <f>IF(A145="","",IF(A145&lt;$E$8,$E$7,$E$7+$B$5))</f>
        <v/>
      </c>
      <c r="D145" s="18">
        <f>IF(A145="","",$E$9^(-$B$10*B145))</f>
        <v/>
      </c>
      <c r="E145" s="17">
        <f>IF(A145="","",C145*D145)</f>
        <v/>
      </c>
    </row>
    <row r="146">
      <c r="A146" s="15">
        <f>IF(128&lt;= $E$8, 128, "")</f>
        <v/>
      </c>
      <c r="B146" s="16">
        <f>IF(A146="","",A146/$B$8)</f>
        <v/>
      </c>
      <c r="C146" s="17">
        <f>IF(A146="","",IF(A146&lt;$E$8,$E$7,$E$7+$B$5))</f>
        <v/>
      </c>
      <c r="D146" s="18">
        <f>IF(A146="","",$E$9^(-$B$10*B146))</f>
        <v/>
      </c>
      <c r="E146" s="17">
        <f>IF(A146="","",C146*D146)</f>
        <v/>
      </c>
    </row>
    <row r="147">
      <c r="A147" s="15">
        <f>IF(129&lt;= $E$8, 129, "")</f>
        <v/>
      </c>
      <c r="B147" s="16">
        <f>IF(A147="","",A147/$B$8)</f>
        <v/>
      </c>
      <c r="C147" s="17">
        <f>IF(A147="","",IF(A147&lt;$E$8,$E$7,$E$7+$B$5))</f>
        <v/>
      </c>
      <c r="D147" s="18">
        <f>IF(A147="","",$E$9^(-$B$10*B147))</f>
        <v/>
      </c>
      <c r="E147" s="17">
        <f>IF(A147="","",C147*D147)</f>
        <v/>
      </c>
    </row>
    <row r="148">
      <c r="A148" s="15">
        <f>IF(130&lt;= $E$8, 130, "")</f>
        <v/>
      </c>
      <c r="B148" s="16">
        <f>IF(A148="","",A148/$B$8)</f>
        <v/>
      </c>
      <c r="C148" s="17">
        <f>IF(A148="","",IF(A148&lt;$E$8,$E$7,$E$7+$B$5))</f>
        <v/>
      </c>
      <c r="D148" s="18">
        <f>IF(A148="","",$E$9^(-$B$10*B148))</f>
        <v/>
      </c>
      <c r="E148" s="17">
        <f>IF(A148="","",C148*D148)</f>
        <v/>
      </c>
    </row>
    <row r="149">
      <c r="A149" s="15">
        <f>IF(131&lt;= $E$8, 131, "")</f>
        <v/>
      </c>
      <c r="B149" s="16">
        <f>IF(A149="","",A149/$B$8)</f>
        <v/>
      </c>
      <c r="C149" s="17">
        <f>IF(A149="","",IF(A149&lt;$E$8,$E$7,$E$7+$B$5))</f>
        <v/>
      </c>
      <c r="D149" s="18">
        <f>IF(A149="","",$E$9^(-$B$10*B149))</f>
        <v/>
      </c>
      <c r="E149" s="17">
        <f>IF(A149="","",C149*D149)</f>
        <v/>
      </c>
    </row>
    <row r="150">
      <c r="A150" s="15">
        <f>IF(132&lt;= $E$8, 132, "")</f>
        <v/>
      </c>
      <c r="B150" s="16">
        <f>IF(A150="","",A150/$B$8)</f>
        <v/>
      </c>
      <c r="C150" s="17">
        <f>IF(A150="","",IF(A150&lt;$E$8,$E$7,$E$7+$B$5))</f>
        <v/>
      </c>
      <c r="D150" s="18">
        <f>IF(A150="","",$E$9^(-$B$10*B150))</f>
        <v/>
      </c>
      <c r="E150" s="17">
        <f>IF(A150="","",C150*D150)</f>
        <v/>
      </c>
    </row>
    <row r="151">
      <c r="A151" s="15">
        <f>IF(133&lt;= $E$8, 133, "")</f>
        <v/>
      </c>
      <c r="B151" s="16">
        <f>IF(A151="","",A151/$B$8)</f>
        <v/>
      </c>
      <c r="C151" s="17">
        <f>IF(A151="","",IF(A151&lt;$E$8,$E$7,$E$7+$B$5))</f>
        <v/>
      </c>
      <c r="D151" s="18">
        <f>IF(A151="","",$E$9^(-$B$10*B151))</f>
        <v/>
      </c>
      <c r="E151" s="17">
        <f>IF(A151="","",C151*D151)</f>
        <v/>
      </c>
    </row>
    <row r="152">
      <c r="A152" s="15">
        <f>IF(134&lt;= $E$8, 134, "")</f>
        <v/>
      </c>
      <c r="B152" s="16">
        <f>IF(A152="","",A152/$B$8)</f>
        <v/>
      </c>
      <c r="C152" s="17">
        <f>IF(A152="","",IF(A152&lt;$E$8,$E$7,$E$7+$B$5))</f>
        <v/>
      </c>
      <c r="D152" s="18">
        <f>IF(A152="","",$E$9^(-$B$10*B152))</f>
        <v/>
      </c>
      <c r="E152" s="17">
        <f>IF(A152="","",C152*D152)</f>
        <v/>
      </c>
    </row>
    <row r="153">
      <c r="A153" s="15">
        <f>IF(135&lt;= $E$8, 135, "")</f>
        <v/>
      </c>
      <c r="B153" s="16">
        <f>IF(A153="","",A153/$B$8)</f>
        <v/>
      </c>
      <c r="C153" s="17">
        <f>IF(A153="","",IF(A153&lt;$E$8,$E$7,$E$7+$B$5))</f>
        <v/>
      </c>
      <c r="D153" s="18">
        <f>IF(A153="","",$E$9^(-$B$10*B153))</f>
        <v/>
      </c>
      <c r="E153" s="17">
        <f>IF(A153="","",C153*D153)</f>
        <v/>
      </c>
    </row>
    <row r="154">
      <c r="A154" s="15">
        <f>IF(136&lt;= $E$8, 136, "")</f>
        <v/>
      </c>
      <c r="B154" s="16">
        <f>IF(A154="","",A154/$B$8)</f>
        <v/>
      </c>
      <c r="C154" s="17">
        <f>IF(A154="","",IF(A154&lt;$E$8,$E$7,$E$7+$B$5))</f>
        <v/>
      </c>
      <c r="D154" s="18">
        <f>IF(A154="","",$E$9^(-$B$10*B154))</f>
        <v/>
      </c>
      <c r="E154" s="17">
        <f>IF(A154="","",C154*D154)</f>
        <v/>
      </c>
    </row>
    <row r="155">
      <c r="A155" s="15">
        <f>IF(137&lt;= $E$8, 137, "")</f>
        <v/>
      </c>
      <c r="B155" s="16">
        <f>IF(A155="","",A155/$B$8)</f>
        <v/>
      </c>
      <c r="C155" s="17">
        <f>IF(A155="","",IF(A155&lt;$E$8,$E$7,$E$7+$B$5))</f>
        <v/>
      </c>
      <c r="D155" s="18">
        <f>IF(A155="","",$E$9^(-$B$10*B155))</f>
        <v/>
      </c>
      <c r="E155" s="17">
        <f>IF(A155="","",C155*D155)</f>
        <v/>
      </c>
    </row>
    <row r="156">
      <c r="A156" s="15">
        <f>IF(138&lt;= $E$8, 138, "")</f>
        <v/>
      </c>
      <c r="B156" s="16">
        <f>IF(A156="","",A156/$B$8)</f>
        <v/>
      </c>
      <c r="C156" s="17">
        <f>IF(A156="","",IF(A156&lt;$E$8,$E$7,$E$7+$B$5))</f>
        <v/>
      </c>
      <c r="D156" s="18">
        <f>IF(A156="","",$E$9^(-$B$10*B156))</f>
        <v/>
      </c>
      <c r="E156" s="17">
        <f>IF(A156="","",C156*D156)</f>
        <v/>
      </c>
    </row>
    <row r="157">
      <c r="A157" s="15">
        <f>IF(139&lt;= $E$8, 139, "")</f>
        <v/>
      </c>
      <c r="B157" s="16">
        <f>IF(A157="","",A157/$B$8)</f>
        <v/>
      </c>
      <c r="C157" s="17">
        <f>IF(A157="","",IF(A157&lt;$E$8,$E$7,$E$7+$B$5))</f>
        <v/>
      </c>
      <c r="D157" s="18">
        <f>IF(A157="","",$E$9^(-$B$10*B157))</f>
        <v/>
      </c>
      <c r="E157" s="17">
        <f>IF(A157="","",C157*D157)</f>
        <v/>
      </c>
    </row>
    <row r="158">
      <c r="A158" s="15">
        <f>IF(140&lt;= $E$8, 140, "")</f>
        <v/>
      </c>
      <c r="B158" s="16">
        <f>IF(A158="","",A158/$B$8)</f>
        <v/>
      </c>
      <c r="C158" s="17">
        <f>IF(A158="","",IF(A158&lt;$E$8,$E$7,$E$7+$B$5))</f>
        <v/>
      </c>
      <c r="D158" s="18">
        <f>IF(A158="","",$E$9^(-$B$10*B158))</f>
        <v/>
      </c>
      <c r="E158" s="17">
        <f>IF(A158="","",C158*D158)</f>
        <v/>
      </c>
    </row>
    <row r="159">
      <c r="A159" s="15">
        <f>IF(141&lt;= $E$8, 141, "")</f>
        <v/>
      </c>
      <c r="B159" s="16">
        <f>IF(A159="","",A159/$B$8)</f>
        <v/>
      </c>
      <c r="C159" s="17">
        <f>IF(A159="","",IF(A159&lt;$E$8,$E$7,$E$7+$B$5))</f>
        <v/>
      </c>
      <c r="D159" s="18">
        <f>IF(A159="","",$E$9^(-$B$10*B159))</f>
        <v/>
      </c>
      <c r="E159" s="17">
        <f>IF(A159="","",C159*D159)</f>
        <v/>
      </c>
    </row>
    <row r="160">
      <c r="A160" s="15">
        <f>IF(142&lt;= $E$8, 142, "")</f>
        <v/>
      </c>
      <c r="B160" s="16">
        <f>IF(A160="","",A160/$B$8)</f>
        <v/>
      </c>
      <c r="C160" s="17">
        <f>IF(A160="","",IF(A160&lt;$E$8,$E$7,$E$7+$B$5))</f>
        <v/>
      </c>
      <c r="D160" s="18">
        <f>IF(A160="","",$E$9^(-$B$10*B160))</f>
        <v/>
      </c>
      <c r="E160" s="17">
        <f>IF(A160="","",C160*D160)</f>
        <v/>
      </c>
    </row>
    <row r="161">
      <c r="A161" s="15">
        <f>IF(143&lt;= $E$8, 143, "")</f>
        <v/>
      </c>
      <c r="B161" s="16">
        <f>IF(A161="","",A161/$B$8)</f>
        <v/>
      </c>
      <c r="C161" s="17">
        <f>IF(A161="","",IF(A161&lt;$E$8,$E$7,$E$7+$B$5))</f>
        <v/>
      </c>
      <c r="D161" s="18">
        <f>IF(A161="","",$E$9^(-$B$10*B161))</f>
        <v/>
      </c>
      <c r="E161" s="17">
        <f>IF(A161="","",C161*D161)</f>
        <v/>
      </c>
    </row>
    <row r="162">
      <c r="A162" s="15">
        <f>IF(144&lt;= $E$8, 144, "")</f>
        <v/>
      </c>
      <c r="B162" s="16">
        <f>IF(A162="","",A162/$B$8)</f>
        <v/>
      </c>
      <c r="C162" s="17">
        <f>IF(A162="","",IF(A162&lt;$E$8,$E$7,$E$7+$B$5))</f>
        <v/>
      </c>
      <c r="D162" s="18">
        <f>IF(A162="","",$E$9^(-$B$10*B162))</f>
        <v/>
      </c>
      <c r="E162" s="17">
        <f>IF(A162="","",C162*D162)</f>
        <v/>
      </c>
    </row>
    <row r="163">
      <c r="A163" s="15">
        <f>IF(145&lt;= $E$8, 145, "")</f>
        <v/>
      </c>
      <c r="B163" s="16">
        <f>IF(A163="","",A163/$B$8)</f>
        <v/>
      </c>
      <c r="C163" s="17">
        <f>IF(A163="","",IF(A163&lt;$E$8,$E$7,$E$7+$B$5))</f>
        <v/>
      </c>
      <c r="D163" s="18">
        <f>IF(A163="","",$E$9^(-$B$10*B163))</f>
        <v/>
      </c>
      <c r="E163" s="17">
        <f>IF(A163="","",C163*D163)</f>
        <v/>
      </c>
    </row>
    <row r="164">
      <c r="A164" s="15">
        <f>IF(146&lt;= $E$8, 146, "")</f>
        <v/>
      </c>
      <c r="B164" s="16">
        <f>IF(A164="","",A164/$B$8)</f>
        <v/>
      </c>
      <c r="C164" s="17">
        <f>IF(A164="","",IF(A164&lt;$E$8,$E$7,$E$7+$B$5))</f>
        <v/>
      </c>
      <c r="D164" s="18">
        <f>IF(A164="","",$E$9^(-$B$10*B164))</f>
        <v/>
      </c>
      <c r="E164" s="17">
        <f>IF(A164="","",C164*D164)</f>
        <v/>
      </c>
    </row>
    <row r="165">
      <c r="A165" s="15">
        <f>IF(147&lt;= $E$8, 147, "")</f>
        <v/>
      </c>
      <c r="B165" s="16">
        <f>IF(A165="","",A165/$B$8)</f>
        <v/>
      </c>
      <c r="C165" s="17">
        <f>IF(A165="","",IF(A165&lt;$E$8,$E$7,$E$7+$B$5))</f>
        <v/>
      </c>
      <c r="D165" s="18">
        <f>IF(A165="","",$E$9^(-$B$10*B165))</f>
        <v/>
      </c>
      <c r="E165" s="17">
        <f>IF(A165="","",C165*D165)</f>
        <v/>
      </c>
    </row>
    <row r="166">
      <c r="A166" s="15">
        <f>IF(148&lt;= $E$8, 148, "")</f>
        <v/>
      </c>
      <c r="B166" s="16">
        <f>IF(A166="","",A166/$B$8)</f>
        <v/>
      </c>
      <c r="C166" s="17">
        <f>IF(A166="","",IF(A166&lt;$E$8,$E$7,$E$7+$B$5))</f>
        <v/>
      </c>
      <c r="D166" s="18">
        <f>IF(A166="","",$E$9^(-$B$10*B166))</f>
        <v/>
      </c>
      <c r="E166" s="17">
        <f>IF(A166="","",C166*D166)</f>
        <v/>
      </c>
    </row>
    <row r="167">
      <c r="A167" s="15">
        <f>IF(149&lt;= $E$8, 149, "")</f>
        <v/>
      </c>
      <c r="B167" s="16">
        <f>IF(A167="","",A167/$B$8)</f>
        <v/>
      </c>
      <c r="C167" s="17">
        <f>IF(A167="","",IF(A167&lt;$E$8,$E$7,$E$7+$B$5))</f>
        <v/>
      </c>
      <c r="D167" s="18">
        <f>IF(A167="","",$E$9^(-$B$10*B167))</f>
        <v/>
      </c>
      <c r="E167" s="17">
        <f>IF(A167="","",C167*D167)</f>
        <v/>
      </c>
    </row>
    <row r="168">
      <c r="A168" s="15">
        <f>IF(150&lt;= $E$8, 150, "")</f>
        <v/>
      </c>
      <c r="B168" s="16">
        <f>IF(A168="","",A168/$B$8)</f>
        <v/>
      </c>
      <c r="C168" s="17">
        <f>IF(A168="","",IF(A168&lt;$E$8,$E$7,$E$7+$B$5))</f>
        <v/>
      </c>
      <c r="D168" s="18">
        <f>IF(A168="","",$E$9^(-$B$10*B168))</f>
        <v/>
      </c>
      <c r="E168" s="17">
        <f>IF(A168="","",C168*D168)</f>
        <v/>
      </c>
    </row>
    <row r="169">
      <c r="A169" s="15">
        <f>IF(151&lt;= $E$8, 151, "")</f>
        <v/>
      </c>
      <c r="B169" s="16">
        <f>IF(A169="","",A169/$B$8)</f>
        <v/>
      </c>
      <c r="C169" s="17">
        <f>IF(A169="","",IF(A169&lt;$E$8,$E$7,$E$7+$B$5))</f>
        <v/>
      </c>
      <c r="D169" s="18">
        <f>IF(A169="","",$E$9^(-$B$10*B169))</f>
        <v/>
      </c>
      <c r="E169" s="17">
        <f>IF(A169="","",C169*D169)</f>
        <v/>
      </c>
    </row>
    <row r="170">
      <c r="A170" s="15">
        <f>IF(152&lt;= $E$8, 152, "")</f>
        <v/>
      </c>
      <c r="B170" s="16">
        <f>IF(A170="","",A170/$B$8)</f>
        <v/>
      </c>
      <c r="C170" s="17">
        <f>IF(A170="","",IF(A170&lt;$E$8,$E$7,$E$7+$B$5))</f>
        <v/>
      </c>
      <c r="D170" s="18">
        <f>IF(A170="","",$E$9^(-$B$10*B170))</f>
        <v/>
      </c>
      <c r="E170" s="17">
        <f>IF(A170="","",C170*D170)</f>
        <v/>
      </c>
    </row>
    <row r="171">
      <c r="A171" s="15">
        <f>IF(153&lt;= $E$8, 153, "")</f>
        <v/>
      </c>
      <c r="B171" s="16">
        <f>IF(A171="","",A171/$B$8)</f>
        <v/>
      </c>
      <c r="C171" s="17">
        <f>IF(A171="","",IF(A171&lt;$E$8,$E$7,$E$7+$B$5))</f>
        <v/>
      </c>
      <c r="D171" s="18">
        <f>IF(A171="","",$E$9^(-$B$10*B171))</f>
        <v/>
      </c>
      <c r="E171" s="17">
        <f>IF(A171="","",C171*D171)</f>
        <v/>
      </c>
    </row>
    <row r="172">
      <c r="A172" s="15">
        <f>IF(154&lt;= $E$8, 154, "")</f>
        <v/>
      </c>
      <c r="B172" s="16">
        <f>IF(A172="","",A172/$B$8)</f>
        <v/>
      </c>
      <c r="C172" s="17">
        <f>IF(A172="","",IF(A172&lt;$E$8,$E$7,$E$7+$B$5))</f>
        <v/>
      </c>
      <c r="D172" s="18">
        <f>IF(A172="","",$E$9^(-$B$10*B172))</f>
        <v/>
      </c>
      <c r="E172" s="17">
        <f>IF(A172="","",C172*D172)</f>
        <v/>
      </c>
    </row>
    <row r="173">
      <c r="A173" s="15">
        <f>IF(155&lt;= $E$8, 155, "")</f>
        <v/>
      </c>
      <c r="B173" s="16">
        <f>IF(A173="","",A173/$B$8)</f>
        <v/>
      </c>
      <c r="C173" s="17">
        <f>IF(A173="","",IF(A173&lt;$E$8,$E$7,$E$7+$B$5))</f>
        <v/>
      </c>
      <c r="D173" s="18">
        <f>IF(A173="","",$E$9^(-$B$10*B173))</f>
        <v/>
      </c>
      <c r="E173" s="17">
        <f>IF(A173="","",C173*D173)</f>
        <v/>
      </c>
    </row>
    <row r="174">
      <c r="A174" s="15">
        <f>IF(156&lt;= $E$8, 156, "")</f>
        <v/>
      </c>
      <c r="B174" s="16">
        <f>IF(A174="","",A174/$B$8)</f>
        <v/>
      </c>
      <c r="C174" s="17">
        <f>IF(A174="","",IF(A174&lt;$E$8,$E$7,$E$7+$B$5))</f>
        <v/>
      </c>
      <c r="D174" s="18">
        <f>IF(A174="","",$E$9^(-$B$10*B174))</f>
        <v/>
      </c>
      <c r="E174" s="17">
        <f>IF(A174="","",C174*D174)</f>
        <v/>
      </c>
    </row>
    <row r="175">
      <c r="A175" s="15">
        <f>IF(157&lt;= $E$8, 157, "")</f>
        <v/>
      </c>
      <c r="B175" s="16">
        <f>IF(A175="","",A175/$B$8)</f>
        <v/>
      </c>
      <c r="C175" s="17">
        <f>IF(A175="","",IF(A175&lt;$E$8,$E$7,$E$7+$B$5))</f>
        <v/>
      </c>
      <c r="D175" s="18">
        <f>IF(A175="","",$E$9^(-$B$10*B175))</f>
        <v/>
      </c>
      <c r="E175" s="17">
        <f>IF(A175="","",C175*D175)</f>
        <v/>
      </c>
    </row>
    <row r="176">
      <c r="A176" s="15">
        <f>IF(158&lt;= $E$8, 158, "")</f>
        <v/>
      </c>
      <c r="B176" s="16">
        <f>IF(A176="","",A176/$B$8)</f>
        <v/>
      </c>
      <c r="C176" s="17">
        <f>IF(A176="","",IF(A176&lt;$E$8,$E$7,$E$7+$B$5))</f>
        <v/>
      </c>
      <c r="D176" s="18">
        <f>IF(A176="","",$E$9^(-$B$10*B176))</f>
        <v/>
      </c>
      <c r="E176" s="17">
        <f>IF(A176="","",C176*D176)</f>
        <v/>
      </c>
    </row>
    <row r="177">
      <c r="A177" s="15">
        <f>IF(159&lt;= $E$8, 159, "")</f>
        <v/>
      </c>
      <c r="B177" s="16">
        <f>IF(A177="","",A177/$B$8)</f>
        <v/>
      </c>
      <c r="C177" s="17">
        <f>IF(A177="","",IF(A177&lt;$E$8,$E$7,$E$7+$B$5))</f>
        <v/>
      </c>
      <c r="D177" s="18">
        <f>IF(A177="","",$E$9^(-$B$10*B177))</f>
        <v/>
      </c>
      <c r="E177" s="17">
        <f>IF(A177="","",C177*D177)</f>
        <v/>
      </c>
    </row>
    <row r="178">
      <c r="A178" s="15">
        <f>IF(160&lt;= $E$8, 160, "")</f>
        <v/>
      </c>
      <c r="B178" s="16">
        <f>IF(A178="","",A178/$B$8)</f>
        <v/>
      </c>
      <c r="C178" s="17">
        <f>IF(A178="","",IF(A178&lt;$E$8,$E$7,$E$7+$B$5))</f>
        <v/>
      </c>
      <c r="D178" s="18">
        <f>IF(A178="","",$E$9^(-$B$10*B178))</f>
        <v/>
      </c>
      <c r="E178" s="17">
        <f>IF(A178="","",C178*D178)</f>
        <v/>
      </c>
    </row>
    <row r="179">
      <c r="A179" s="15">
        <f>IF(161&lt;= $E$8, 161, "")</f>
        <v/>
      </c>
      <c r="B179" s="16">
        <f>IF(A179="","",A179/$B$8)</f>
        <v/>
      </c>
      <c r="C179" s="17">
        <f>IF(A179="","",IF(A179&lt;$E$8,$E$7,$E$7+$B$5))</f>
        <v/>
      </c>
      <c r="D179" s="18">
        <f>IF(A179="","",$E$9^(-$B$10*B179))</f>
        <v/>
      </c>
      <c r="E179" s="17">
        <f>IF(A179="","",C179*D179)</f>
        <v/>
      </c>
    </row>
    <row r="180">
      <c r="A180" s="15">
        <f>IF(162&lt;= $E$8, 162, "")</f>
        <v/>
      </c>
      <c r="B180" s="16">
        <f>IF(A180="","",A180/$B$8)</f>
        <v/>
      </c>
      <c r="C180" s="17">
        <f>IF(A180="","",IF(A180&lt;$E$8,$E$7,$E$7+$B$5))</f>
        <v/>
      </c>
      <c r="D180" s="18">
        <f>IF(A180="","",$E$9^(-$B$10*B180))</f>
        <v/>
      </c>
      <c r="E180" s="17">
        <f>IF(A180="","",C180*D180)</f>
        <v/>
      </c>
    </row>
    <row r="181">
      <c r="A181" s="15">
        <f>IF(163&lt;= $E$8, 163, "")</f>
        <v/>
      </c>
      <c r="B181" s="16">
        <f>IF(A181="","",A181/$B$8)</f>
        <v/>
      </c>
      <c r="C181" s="17">
        <f>IF(A181="","",IF(A181&lt;$E$8,$E$7,$E$7+$B$5))</f>
        <v/>
      </c>
      <c r="D181" s="18">
        <f>IF(A181="","",$E$9^(-$B$10*B181))</f>
        <v/>
      </c>
      <c r="E181" s="17">
        <f>IF(A181="","",C181*D181)</f>
        <v/>
      </c>
    </row>
    <row r="182">
      <c r="A182" s="15">
        <f>IF(164&lt;= $E$8, 164, "")</f>
        <v/>
      </c>
      <c r="B182" s="16">
        <f>IF(A182="","",A182/$B$8)</f>
        <v/>
      </c>
      <c r="C182" s="17">
        <f>IF(A182="","",IF(A182&lt;$E$8,$E$7,$E$7+$B$5))</f>
        <v/>
      </c>
      <c r="D182" s="18">
        <f>IF(A182="","",$E$9^(-$B$10*B182))</f>
        <v/>
      </c>
      <c r="E182" s="17">
        <f>IF(A182="","",C182*D182)</f>
        <v/>
      </c>
    </row>
    <row r="183">
      <c r="A183" s="15">
        <f>IF(165&lt;= $E$8, 165, "")</f>
        <v/>
      </c>
      <c r="B183" s="16">
        <f>IF(A183="","",A183/$B$8)</f>
        <v/>
      </c>
      <c r="C183" s="17">
        <f>IF(A183="","",IF(A183&lt;$E$8,$E$7,$E$7+$B$5))</f>
        <v/>
      </c>
      <c r="D183" s="18">
        <f>IF(A183="","",$E$9^(-$B$10*B183))</f>
        <v/>
      </c>
      <c r="E183" s="17">
        <f>IF(A183="","",C183*D183)</f>
        <v/>
      </c>
    </row>
    <row r="184">
      <c r="A184" s="15">
        <f>IF(166&lt;= $E$8, 166, "")</f>
        <v/>
      </c>
      <c r="B184" s="16">
        <f>IF(A184="","",A184/$B$8)</f>
        <v/>
      </c>
      <c r="C184" s="17">
        <f>IF(A184="","",IF(A184&lt;$E$8,$E$7,$E$7+$B$5))</f>
        <v/>
      </c>
      <c r="D184" s="18">
        <f>IF(A184="","",$E$9^(-$B$10*B184))</f>
        <v/>
      </c>
      <c r="E184" s="17">
        <f>IF(A184="","",C184*D184)</f>
        <v/>
      </c>
    </row>
    <row r="185">
      <c r="A185" s="15">
        <f>IF(167&lt;= $E$8, 167, "")</f>
        <v/>
      </c>
      <c r="B185" s="16">
        <f>IF(A185="","",A185/$B$8)</f>
        <v/>
      </c>
      <c r="C185" s="17">
        <f>IF(A185="","",IF(A185&lt;$E$8,$E$7,$E$7+$B$5))</f>
        <v/>
      </c>
      <c r="D185" s="18">
        <f>IF(A185="","",$E$9^(-$B$10*B185))</f>
        <v/>
      </c>
      <c r="E185" s="17">
        <f>IF(A185="","",C185*D185)</f>
        <v/>
      </c>
    </row>
    <row r="186">
      <c r="A186" s="15">
        <f>IF(168&lt;= $E$8, 168, "")</f>
        <v/>
      </c>
      <c r="B186" s="16">
        <f>IF(A186="","",A186/$B$8)</f>
        <v/>
      </c>
      <c r="C186" s="17">
        <f>IF(A186="","",IF(A186&lt;$E$8,$E$7,$E$7+$B$5))</f>
        <v/>
      </c>
      <c r="D186" s="18">
        <f>IF(A186="","",$E$9^(-$B$10*B186))</f>
        <v/>
      </c>
      <c r="E186" s="17">
        <f>IF(A186="","",C186*D186)</f>
        <v/>
      </c>
    </row>
    <row r="187">
      <c r="A187" s="15">
        <f>IF(169&lt;= $E$8, 169, "")</f>
        <v/>
      </c>
      <c r="B187" s="16">
        <f>IF(A187="","",A187/$B$8)</f>
        <v/>
      </c>
      <c r="C187" s="17">
        <f>IF(A187="","",IF(A187&lt;$E$8,$E$7,$E$7+$B$5))</f>
        <v/>
      </c>
      <c r="D187" s="18">
        <f>IF(A187="","",$E$9^(-$B$10*B187))</f>
        <v/>
      </c>
      <c r="E187" s="17">
        <f>IF(A187="","",C187*D187)</f>
        <v/>
      </c>
    </row>
    <row r="188">
      <c r="A188" s="15">
        <f>IF(170&lt;= $E$8, 170, "")</f>
        <v/>
      </c>
      <c r="B188" s="16">
        <f>IF(A188="","",A188/$B$8)</f>
        <v/>
      </c>
      <c r="C188" s="17">
        <f>IF(A188="","",IF(A188&lt;$E$8,$E$7,$E$7+$B$5))</f>
        <v/>
      </c>
      <c r="D188" s="18">
        <f>IF(A188="","",$E$9^(-$B$10*B188))</f>
        <v/>
      </c>
      <c r="E188" s="17">
        <f>IF(A188="","",C188*D188)</f>
        <v/>
      </c>
    </row>
    <row r="189">
      <c r="A189" s="15">
        <f>IF(171&lt;= $E$8, 171, "")</f>
        <v/>
      </c>
      <c r="B189" s="16">
        <f>IF(A189="","",A189/$B$8)</f>
        <v/>
      </c>
      <c r="C189" s="17">
        <f>IF(A189="","",IF(A189&lt;$E$8,$E$7,$E$7+$B$5))</f>
        <v/>
      </c>
      <c r="D189" s="18">
        <f>IF(A189="","",$E$9^(-$B$10*B189))</f>
        <v/>
      </c>
      <c r="E189" s="17">
        <f>IF(A189="","",C189*D189)</f>
        <v/>
      </c>
    </row>
    <row r="190">
      <c r="A190" s="15">
        <f>IF(172&lt;= $E$8, 172, "")</f>
        <v/>
      </c>
      <c r="B190" s="16">
        <f>IF(A190="","",A190/$B$8)</f>
        <v/>
      </c>
      <c r="C190" s="17">
        <f>IF(A190="","",IF(A190&lt;$E$8,$E$7,$E$7+$B$5))</f>
        <v/>
      </c>
      <c r="D190" s="18">
        <f>IF(A190="","",$E$9^(-$B$10*B190))</f>
        <v/>
      </c>
      <c r="E190" s="17">
        <f>IF(A190="","",C190*D190)</f>
        <v/>
      </c>
    </row>
    <row r="191">
      <c r="A191" s="15">
        <f>IF(173&lt;= $E$8, 173, "")</f>
        <v/>
      </c>
      <c r="B191" s="16">
        <f>IF(A191="","",A191/$B$8)</f>
        <v/>
      </c>
      <c r="C191" s="17">
        <f>IF(A191="","",IF(A191&lt;$E$8,$E$7,$E$7+$B$5))</f>
        <v/>
      </c>
      <c r="D191" s="18">
        <f>IF(A191="","",$E$9^(-$B$10*B191))</f>
        <v/>
      </c>
      <c r="E191" s="17">
        <f>IF(A191="","",C191*D191)</f>
        <v/>
      </c>
    </row>
    <row r="192">
      <c r="A192" s="15">
        <f>IF(174&lt;= $E$8, 174, "")</f>
        <v/>
      </c>
      <c r="B192" s="16">
        <f>IF(A192="","",A192/$B$8)</f>
        <v/>
      </c>
      <c r="C192" s="17">
        <f>IF(A192="","",IF(A192&lt;$E$8,$E$7,$E$7+$B$5))</f>
        <v/>
      </c>
      <c r="D192" s="18">
        <f>IF(A192="","",$E$9^(-$B$10*B192))</f>
        <v/>
      </c>
      <c r="E192" s="17">
        <f>IF(A192="","",C192*D192)</f>
        <v/>
      </c>
    </row>
    <row r="193">
      <c r="A193" s="15">
        <f>IF(175&lt;= $E$8, 175, "")</f>
        <v/>
      </c>
      <c r="B193" s="16">
        <f>IF(A193="","",A193/$B$8)</f>
        <v/>
      </c>
      <c r="C193" s="17">
        <f>IF(A193="","",IF(A193&lt;$E$8,$E$7,$E$7+$B$5))</f>
        <v/>
      </c>
      <c r="D193" s="18">
        <f>IF(A193="","",$E$9^(-$B$10*B193))</f>
        <v/>
      </c>
      <c r="E193" s="17">
        <f>IF(A193="","",C193*D193)</f>
        <v/>
      </c>
    </row>
    <row r="194">
      <c r="A194" s="15">
        <f>IF(176&lt;= $E$8, 176, "")</f>
        <v/>
      </c>
      <c r="B194" s="16">
        <f>IF(A194="","",A194/$B$8)</f>
        <v/>
      </c>
      <c r="C194" s="17">
        <f>IF(A194="","",IF(A194&lt;$E$8,$E$7,$E$7+$B$5))</f>
        <v/>
      </c>
      <c r="D194" s="18">
        <f>IF(A194="","",$E$9^(-$B$10*B194))</f>
        <v/>
      </c>
      <c r="E194" s="17">
        <f>IF(A194="","",C194*D194)</f>
        <v/>
      </c>
    </row>
    <row r="195">
      <c r="A195" s="15">
        <f>IF(177&lt;= $E$8, 177, "")</f>
        <v/>
      </c>
      <c r="B195" s="16">
        <f>IF(A195="","",A195/$B$8)</f>
        <v/>
      </c>
      <c r="C195" s="17">
        <f>IF(A195="","",IF(A195&lt;$E$8,$E$7,$E$7+$B$5))</f>
        <v/>
      </c>
      <c r="D195" s="18">
        <f>IF(A195="","",$E$9^(-$B$10*B195))</f>
        <v/>
      </c>
      <c r="E195" s="17">
        <f>IF(A195="","",C195*D195)</f>
        <v/>
      </c>
    </row>
    <row r="196">
      <c r="A196" s="15">
        <f>IF(178&lt;= $E$8, 178, "")</f>
        <v/>
      </c>
      <c r="B196" s="16">
        <f>IF(A196="","",A196/$B$8)</f>
        <v/>
      </c>
      <c r="C196" s="17">
        <f>IF(A196="","",IF(A196&lt;$E$8,$E$7,$E$7+$B$5))</f>
        <v/>
      </c>
      <c r="D196" s="18">
        <f>IF(A196="","",$E$9^(-$B$10*B196))</f>
        <v/>
      </c>
      <c r="E196" s="17">
        <f>IF(A196="","",C196*D196)</f>
        <v/>
      </c>
    </row>
    <row r="197">
      <c r="A197" s="15">
        <f>IF(179&lt;= $E$8, 179, "")</f>
        <v/>
      </c>
      <c r="B197" s="16">
        <f>IF(A197="","",A197/$B$8)</f>
        <v/>
      </c>
      <c r="C197" s="17">
        <f>IF(A197="","",IF(A197&lt;$E$8,$E$7,$E$7+$B$5))</f>
        <v/>
      </c>
      <c r="D197" s="18">
        <f>IF(A197="","",$E$9^(-$B$10*B197))</f>
        <v/>
      </c>
      <c r="E197" s="17">
        <f>IF(A197="","",C197*D197)</f>
        <v/>
      </c>
    </row>
    <row r="198">
      <c r="A198" s="15">
        <f>IF(180&lt;= $E$8, 180, "")</f>
        <v/>
      </c>
      <c r="B198" s="16">
        <f>IF(A198="","",A198/$B$8)</f>
        <v/>
      </c>
      <c r="C198" s="17">
        <f>IF(A198="","",IF(A198&lt;$E$8,$E$7,$E$7+$B$5))</f>
        <v/>
      </c>
      <c r="D198" s="18">
        <f>IF(A198="","",$E$9^(-$B$10*B198))</f>
        <v/>
      </c>
      <c r="E198" s="17">
        <f>IF(A198="","",C198*D198)</f>
        <v/>
      </c>
    </row>
    <row r="199">
      <c r="A199" s="15">
        <f>IF(181&lt;= $E$8, 181, "")</f>
        <v/>
      </c>
      <c r="B199" s="16">
        <f>IF(A199="","",A199/$B$8)</f>
        <v/>
      </c>
      <c r="C199" s="17">
        <f>IF(A199="","",IF(A199&lt;$E$8,$E$7,$E$7+$B$5))</f>
        <v/>
      </c>
      <c r="D199" s="18">
        <f>IF(A199="","",$E$9^(-$B$10*B199))</f>
        <v/>
      </c>
      <c r="E199" s="17">
        <f>IF(A199="","",C199*D199)</f>
        <v/>
      </c>
    </row>
    <row r="200">
      <c r="A200" s="15">
        <f>IF(182&lt;= $E$8, 182, "")</f>
        <v/>
      </c>
      <c r="B200" s="16">
        <f>IF(A200="","",A200/$B$8)</f>
        <v/>
      </c>
      <c r="C200" s="17">
        <f>IF(A200="","",IF(A200&lt;$E$8,$E$7,$E$7+$B$5))</f>
        <v/>
      </c>
      <c r="D200" s="18">
        <f>IF(A200="","",$E$9^(-$B$10*B200))</f>
        <v/>
      </c>
      <c r="E200" s="17">
        <f>IF(A200="","",C200*D200)</f>
        <v/>
      </c>
    </row>
    <row r="201">
      <c r="A201" s="15">
        <f>IF(183&lt;= $E$8, 183, "")</f>
        <v/>
      </c>
      <c r="B201" s="16">
        <f>IF(A201="","",A201/$B$8)</f>
        <v/>
      </c>
      <c r="C201" s="17">
        <f>IF(A201="","",IF(A201&lt;$E$8,$E$7,$E$7+$B$5))</f>
        <v/>
      </c>
      <c r="D201" s="18">
        <f>IF(A201="","",$E$9^(-$B$10*B201))</f>
        <v/>
      </c>
      <c r="E201" s="17">
        <f>IF(A201="","",C201*D201)</f>
        <v/>
      </c>
    </row>
    <row r="202">
      <c r="A202" s="15">
        <f>IF(184&lt;= $E$8, 184, "")</f>
        <v/>
      </c>
      <c r="B202" s="16">
        <f>IF(A202="","",A202/$B$8)</f>
        <v/>
      </c>
      <c r="C202" s="17">
        <f>IF(A202="","",IF(A202&lt;$E$8,$E$7,$E$7+$B$5))</f>
        <v/>
      </c>
      <c r="D202" s="18">
        <f>IF(A202="","",$E$9^(-$B$10*B202))</f>
        <v/>
      </c>
      <c r="E202" s="17">
        <f>IF(A202="","",C202*D202)</f>
        <v/>
      </c>
    </row>
    <row r="203">
      <c r="A203" s="15">
        <f>IF(185&lt;= $E$8, 185, "")</f>
        <v/>
      </c>
      <c r="B203" s="16">
        <f>IF(A203="","",A203/$B$8)</f>
        <v/>
      </c>
      <c r="C203" s="17">
        <f>IF(A203="","",IF(A203&lt;$E$8,$E$7,$E$7+$B$5))</f>
        <v/>
      </c>
      <c r="D203" s="18">
        <f>IF(A203="","",$E$9^(-$B$10*B203))</f>
        <v/>
      </c>
      <c r="E203" s="17">
        <f>IF(A203="","",C203*D203)</f>
        <v/>
      </c>
    </row>
    <row r="204">
      <c r="A204" s="15">
        <f>IF(186&lt;= $E$8, 186, "")</f>
        <v/>
      </c>
      <c r="B204" s="16">
        <f>IF(A204="","",A204/$B$8)</f>
        <v/>
      </c>
      <c r="C204" s="17">
        <f>IF(A204="","",IF(A204&lt;$E$8,$E$7,$E$7+$B$5))</f>
        <v/>
      </c>
      <c r="D204" s="18">
        <f>IF(A204="","",$E$9^(-$B$10*B204))</f>
        <v/>
      </c>
      <c r="E204" s="17">
        <f>IF(A204="","",C204*D204)</f>
        <v/>
      </c>
    </row>
    <row r="205">
      <c r="A205" s="15">
        <f>IF(187&lt;= $E$8, 187, "")</f>
        <v/>
      </c>
      <c r="B205" s="16">
        <f>IF(A205="","",A205/$B$8)</f>
        <v/>
      </c>
      <c r="C205" s="17">
        <f>IF(A205="","",IF(A205&lt;$E$8,$E$7,$E$7+$B$5))</f>
        <v/>
      </c>
      <c r="D205" s="18">
        <f>IF(A205="","",$E$9^(-$B$10*B205))</f>
        <v/>
      </c>
      <c r="E205" s="17">
        <f>IF(A205="","",C205*D205)</f>
        <v/>
      </c>
    </row>
    <row r="206">
      <c r="A206" s="15">
        <f>IF(188&lt;= $E$8, 188, "")</f>
        <v/>
      </c>
      <c r="B206" s="16">
        <f>IF(A206="","",A206/$B$8)</f>
        <v/>
      </c>
      <c r="C206" s="17">
        <f>IF(A206="","",IF(A206&lt;$E$8,$E$7,$E$7+$B$5))</f>
        <v/>
      </c>
      <c r="D206" s="18">
        <f>IF(A206="","",$E$9^(-$B$10*B206))</f>
        <v/>
      </c>
      <c r="E206" s="17">
        <f>IF(A206="","",C206*D206)</f>
        <v/>
      </c>
    </row>
    <row r="207">
      <c r="A207" s="15">
        <f>IF(189&lt;= $E$8, 189, "")</f>
        <v/>
      </c>
      <c r="B207" s="16">
        <f>IF(A207="","",A207/$B$8)</f>
        <v/>
      </c>
      <c r="C207" s="17">
        <f>IF(A207="","",IF(A207&lt;$E$8,$E$7,$E$7+$B$5))</f>
        <v/>
      </c>
      <c r="D207" s="18">
        <f>IF(A207="","",$E$9^(-$B$10*B207))</f>
        <v/>
      </c>
      <c r="E207" s="17">
        <f>IF(A207="","",C207*D207)</f>
        <v/>
      </c>
    </row>
    <row r="208">
      <c r="A208" s="15">
        <f>IF(190&lt;= $E$8, 190, "")</f>
        <v/>
      </c>
      <c r="B208" s="16">
        <f>IF(A208="","",A208/$B$8)</f>
        <v/>
      </c>
      <c r="C208" s="17">
        <f>IF(A208="","",IF(A208&lt;$E$8,$E$7,$E$7+$B$5))</f>
        <v/>
      </c>
      <c r="D208" s="18">
        <f>IF(A208="","",$E$9^(-$B$10*B208))</f>
        <v/>
      </c>
      <c r="E208" s="17">
        <f>IF(A208="","",C208*D208)</f>
        <v/>
      </c>
    </row>
    <row r="209">
      <c r="A209" s="15">
        <f>IF(191&lt;= $E$8, 191, "")</f>
        <v/>
      </c>
      <c r="B209" s="16">
        <f>IF(A209="","",A209/$B$8)</f>
        <v/>
      </c>
      <c r="C209" s="17">
        <f>IF(A209="","",IF(A209&lt;$E$8,$E$7,$E$7+$B$5))</f>
        <v/>
      </c>
      <c r="D209" s="18">
        <f>IF(A209="","",$E$9^(-$B$10*B209))</f>
        <v/>
      </c>
      <c r="E209" s="17">
        <f>IF(A209="","",C209*D209)</f>
        <v/>
      </c>
    </row>
    <row r="210">
      <c r="A210" s="15">
        <f>IF(192&lt;= $E$8, 192, "")</f>
        <v/>
      </c>
      <c r="B210" s="16">
        <f>IF(A210="","",A210/$B$8)</f>
        <v/>
      </c>
      <c r="C210" s="17">
        <f>IF(A210="","",IF(A210&lt;$E$8,$E$7,$E$7+$B$5))</f>
        <v/>
      </c>
      <c r="D210" s="18">
        <f>IF(A210="","",$E$9^(-$B$10*B210))</f>
        <v/>
      </c>
      <c r="E210" s="17">
        <f>IF(A210="","",C210*D210)</f>
        <v/>
      </c>
    </row>
    <row r="211">
      <c r="A211" s="15">
        <f>IF(193&lt;= $E$8, 193, "")</f>
        <v/>
      </c>
      <c r="B211" s="16">
        <f>IF(A211="","",A211/$B$8)</f>
        <v/>
      </c>
      <c r="C211" s="17">
        <f>IF(A211="","",IF(A211&lt;$E$8,$E$7,$E$7+$B$5))</f>
        <v/>
      </c>
      <c r="D211" s="18">
        <f>IF(A211="","",$E$9^(-$B$10*B211))</f>
        <v/>
      </c>
      <c r="E211" s="17">
        <f>IF(A211="","",C211*D211)</f>
        <v/>
      </c>
    </row>
    <row r="212">
      <c r="A212" s="15">
        <f>IF(194&lt;= $E$8, 194, "")</f>
        <v/>
      </c>
      <c r="B212" s="16">
        <f>IF(A212="","",A212/$B$8)</f>
        <v/>
      </c>
      <c r="C212" s="17">
        <f>IF(A212="","",IF(A212&lt;$E$8,$E$7,$E$7+$B$5))</f>
        <v/>
      </c>
      <c r="D212" s="18">
        <f>IF(A212="","",$E$9^(-$B$10*B212))</f>
        <v/>
      </c>
      <c r="E212" s="17">
        <f>IF(A212="","",C212*D212)</f>
        <v/>
      </c>
    </row>
    <row r="213">
      <c r="A213" s="15">
        <f>IF(195&lt;= $E$8, 195, "")</f>
        <v/>
      </c>
      <c r="B213" s="16">
        <f>IF(A213="","",A213/$B$8)</f>
        <v/>
      </c>
      <c r="C213" s="17">
        <f>IF(A213="","",IF(A213&lt;$E$8,$E$7,$E$7+$B$5))</f>
        <v/>
      </c>
      <c r="D213" s="18">
        <f>IF(A213="","",$E$9^(-$B$10*B213))</f>
        <v/>
      </c>
      <c r="E213" s="17">
        <f>IF(A213="","",C213*D213)</f>
        <v/>
      </c>
    </row>
    <row r="214">
      <c r="A214" s="15">
        <f>IF(196&lt;= $E$8, 196, "")</f>
        <v/>
      </c>
      <c r="B214" s="16">
        <f>IF(A214="","",A214/$B$8)</f>
        <v/>
      </c>
      <c r="C214" s="17">
        <f>IF(A214="","",IF(A214&lt;$E$8,$E$7,$E$7+$B$5))</f>
        <v/>
      </c>
      <c r="D214" s="18">
        <f>IF(A214="","",$E$9^(-$B$10*B214))</f>
        <v/>
      </c>
      <c r="E214" s="17">
        <f>IF(A214="","",C214*D214)</f>
        <v/>
      </c>
    </row>
    <row r="215">
      <c r="A215" s="15">
        <f>IF(197&lt;= $E$8, 197, "")</f>
        <v/>
      </c>
      <c r="B215" s="16">
        <f>IF(A215="","",A215/$B$8)</f>
        <v/>
      </c>
      <c r="C215" s="17">
        <f>IF(A215="","",IF(A215&lt;$E$8,$E$7,$E$7+$B$5))</f>
        <v/>
      </c>
      <c r="D215" s="18">
        <f>IF(A215="","",$E$9^(-$B$10*B215))</f>
        <v/>
      </c>
      <c r="E215" s="17">
        <f>IF(A215="","",C215*D215)</f>
        <v/>
      </c>
    </row>
    <row r="216">
      <c r="A216" s="15">
        <f>IF(198&lt;= $E$8, 198, "")</f>
        <v/>
      </c>
      <c r="B216" s="16">
        <f>IF(A216="","",A216/$B$8)</f>
        <v/>
      </c>
      <c r="C216" s="17">
        <f>IF(A216="","",IF(A216&lt;$E$8,$E$7,$E$7+$B$5))</f>
        <v/>
      </c>
      <c r="D216" s="18">
        <f>IF(A216="","",$E$9^(-$B$10*B216))</f>
        <v/>
      </c>
      <c r="E216" s="17">
        <f>IF(A216="","",C216*D216)</f>
        <v/>
      </c>
    </row>
    <row r="217">
      <c r="A217" s="15">
        <f>IF(199&lt;= $E$8, 199, "")</f>
        <v/>
      </c>
      <c r="B217" s="16">
        <f>IF(A217="","",A217/$B$8)</f>
        <v/>
      </c>
      <c r="C217" s="17">
        <f>IF(A217="","",IF(A217&lt;$E$8,$E$7,$E$7+$B$5))</f>
        <v/>
      </c>
      <c r="D217" s="18">
        <f>IF(A217="","",$E$9^(-$B$10*B217))</f>
        <v/>
      </c>
      <c r="E217" s="17">
        <f>IF(A217="","",C217*D217)</f>
        <v/>
      </c>
    </row>
    <row r="218">
      <c r="A218" s="15">
        <f>IF(200&lt;= $E$8, 200, "")</f>
        <v/>
      </c>
      <c r="B218" s="16">
        <f>IF(A218="","",A218/$B$8)</f>
        <v/>
      </c>
      <c r="C218" s="17">
        <f>IF(A218="","",IF(A218&lt;$E$8,$E$7,$E$7+$B$5))</f>
        <v/>
      </c>
      <c r="D218" s="18">
        <f>IF(A218="","",$E$9^(-$B$10*B218))</f>
        <v/>
      </c>
      <c r="E218" s="17">
        <f>IF(A218="","",C218*D218)</f>
        <v/>
      </c>
    </row>
    <row r="221" ht="20" customHeight="1">
      <c r="A221" s="3" t="inlineStr">
        <is>
          <t>SCENARIO TESTING (filled by VBA macro: RunScenarios)</t>
        </is>
      </c>
    </row>
    <row r="222">
      <c r="A222" s="14" t="inlineStr">
        <is>
          <t>Scenario</t>
        </is>
      </c>
      <c r="B222" s="14" t="inlineStr">
        <is>
          <t>Δy (bp)</t>
        </is>
      </c>
      <c r="C222" s="14" t="inlineStr">
        <is>
          <t>Alt m (blank=base)</t>
        </is>
      </c>
      <c r="D222" s="14" t="inlineStr">
        <is>
          <t>Actual Price</t>
        </is>
      </c>
      <c r="E222" s="14" t="inlineStr">
        <is>
          <t>%Δ Actual</t>
        </is>
      </c>
      <c r="F222" s="14" t="inlineStr">
        <is>
          <t>Dur Est Price</t>
        </is>
      </c>
      <c r="G222" s="14" t="inlineStr">
        <is>
          <t>Dur+Conv Est Price</t>
        </is>
      </c>
      <c r="H222" s="14" t="inlineStr">
        <is>
          <t>Error (Dur)</t>
        </is>
      </c>
      <c r="I222" s="14" t="inlineStr">
        <is>
          <t>Error (Dur+Conv)</t>
        </is>
      </c>
    </row>
    <row r="223">
      <c r="A223" s="19" t="inlineStr">
        <is>
          <t>Base</t>
        </is>
      </c>
      <c r="B223" s="20" t="n">
        <v>0</v>
      </c>
      <c r="C223" s="20" t="inlineStr"/>
      <c r="D223" s="21" t="inlineStr"/>
      <c r="E223" s="22" t="inlineStr"/>
      <c r="F223" s="21" t="inlineStr"/>
      <c r="G223" s="21" t="inlineStr"/>
      <c r="H223" s="22" t="inlineStr"/>
      <c r="I223" s="22" t="inlineStr"/>
    </row>
    <row r="224">
      <c r="A224" s="19" t="inlineStr">
        <is>
          <t>+50bp</t>
        </is>
      </c>
      <c r="B224" s="20" t="n">
        <v>50</v>
      </c>
      <c r="C224" s="20" t="inlineStr"/>
      <c r="D224" s="21" t="inlineStr"/>
      <c r="E224" s="22" t="inlineStr"/>
      <c r="F224" s="21" t="inlineStr"/>
      <c r="G224" s="21" t="inlineStr"/>
      <c r="H224" s="22" t="inlineStr"/>
      <c r="I224" s="22" t="inlineStr"/>
    </row>
    <row r="225">
      <c r="A225" s="19" t="inlineStr">
        <is>
          <t>+100bp</t>
        </is>
      </c>
      <c r="B225" s="20" t="n">
        <v>100</v>
      </c>
      <c r="C225" s="20" t="inlineStr"/>
      <c r="D225" s="21" t="inlineStr"/>
      <c r="E225" s="22" t="inlineStr"/>
      <c r="F225" s="21" t="inlineStr"/>
      <c r="G225" s="21" t="inlineStr"/>
      <c r="H225" s="22" t="inlineStr"/>
      <c r="I225" s="22" t="inlineStr"/>
    </row>
    <row r="226">
      <c r="A226" s="19" t="inlineStr">
        <is>
          <t>-50bp</t>
        </is>
      </c>
      <c r="B226" s="20" t="n">
        <v>-50</v>
      </c>
      <c r="C226" s="20" t="inlineStr"/>
      <c r="D226" s="21" t="inlineStr"/>
      <c r="E226" s="22" t="inlineStr"/>
      <c r="F226" s="21" t="inlineStr"/>
      <c r="G226" s="21" t="inlineStr"/>
      <c r="H226" s="22" t="inlineStr"/>
      <c r="I226" s="22" t="inlineStr"/>
    </row>
    <row r="227">
      <c r="A227" s="19" t="inlineStr">
        <is>
          <t>-100bp</t>
        </is>
      </c>
      <c r="B227" s="20" t="n">
        <v>-100</v>
      </c>
      <c r="C227" s="20" t="inlineStr"/>
      <c r="D227" s="21" t="inlineStr"/>
      <c r="E227" s="22" t="inlineStr"/>
      <c r="F227" s="21" t="inlineStr"/>
      <c r="G227" s="21" t="inlineStr"/>
      <c r="H227" s="22" t="inlineStr"/>
      <c r="I227" s="22" t="inlineStr"/>
    </row>
    <row r="228">
      <c r="A228" s="19" t="inlineStr">
        <is>
          <t>Same j, m=4 (quarterly)</t>
        </is>
      </c>
      <c r="B228" s="20" t="n">
        <v>0</v>
      </c>
      <c r="C228" s="20" t="n">
        <v>4</v>
      </c>
      <c r="D228" s="21" t="inlineStr"/>
      <c r="E228" s="22" t="inlineStr"/>
      <c r="F228" s="21" t="inlineStr"/>
      <c r="G228" s="21" t="inlineStr"/>
      <c r="H228" s="22" t="inlineStr"/>
      <c r="I228" s="22" t="inlineStr"/>
    </row>
    <row r="229">
      <c r="A229" s="19" t="inlineStr">
        <is>
          <t>Same j, m=1 (annual)</t>
        </is>
      </c>
      <c r="B229" s="20" t="n">
        <v>0</v>
      </c>
      <c r="C229" s="20" t="n">
        <v>1</v>
      </c>
      <c r="D229" s="21" t="inlineStr"/>
      <c r="E229" s="22" t="inlineStr"/>
      <c r="F229" s="21" t="inlineStr"/>
      <c r="G229" s="21" t="inlineStr"/>
      <c r="H229" s="22" t="inlineStr"/>
      <c r="I229" s="22" t="inlineStr"/>
    </row>
    <row r="232" ht="54" customHeight="1">
      <c r="A232" s="23" t="inlineStr">
        <is>
          <t>Approx formulas (Δy in decimal, e.g. +100bp = 0.01):
Duration-only: P≈P0*(1 - D_mod*Δy)
Duration+Convexity: P≈P0*(1 - D_mod*Δy + 0.5*Conv*Δy^2)
VBA writes Actual Price and both estimates + errors into the table above.</t>
        </is>
      </c>
    </row>
    <row r="233"/>
    <row r="234"/>
    <row r="236">
      <c r="A236" s="24" t="inlineStr">
        <is>
          <t>VBA: open Alt+F11 → Insert Module → paste code from file 'tool/RunScenarios.bas' → add a Form Button linked to RunScenarios.</t>
        </is>
      </c>
    </row>
  </sheetData>
  <mergeCells count="8">
    <mergeCell ref="A221:I221"/>
    <mergeCell ref="A2:I2"/>
    <mergeCell ref="A1:I1"/>
    <mergeCell ref="A232:I234"/>
    <mergeCell ref="A236:I236"/>
    <mergeCell ref="D6:I6"/>
    <mergeCell ref="A12:I12"/>
    <mergeCell ref="A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5" t="inlineStr">
        <is>
          <t>How to use this workbook</t>
        </is>
      </c>
    </row>
    <row r="3" ht="240" customHeight="1">
      <c r="A3" s="26" t="inlineStr">
        <is>
          <t xml:space="preserve">1) Inputs: fill Face Value, coupon rate, maturity (years), coupon frequency p, nominal yield j^(m), and compounding m.
2) Outputs update automatically: Price, Macaulay duration, modified duration, convexity.
3) Cash-Flow table shows time t (years), CF, discount factor (1+j/m)^(-m t), and PV.
4) Scenario table: install VBA module RunScenarios.bas then click the button to batch-run shocks.
Notes:
- Time is in years. j^(m) means nominal rate convertible m times per year.
- If T*p is not an integer, adjust T or p so number of payments N is an integer.
- To model irregular cash flows, you can overwrite the Cash Flow column values manually (and optionally Time). Price/duration/convexity will then reflect those edited cash flows (but the VBA scenario runner uses the standard bond schedule).
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</cols>
  <sheetData>
    <row r="1">
      <c r="A1" s="28" t="inlineStr">
        <is>
          <t>Tenor (years)</t>
        </is>
      </c>
      <c r="B1" s="28" t="inlineStr">
        <is>
          <t>Zero rate j^(m) (decimal)</t>
        </is>
      </c>
      <c r="C1" s="28" t="inlineStr">
        <is>
          <t>Note</t>
        </is>
      </c>
    </row>
    <row r="2">
      <c r="A2" t="n">
        <v>0.5</v>
      </c>
      <c r="B2">
        <f>'Bond Toolkit'!$B$9</f>
        <v/>
      </c>
      <c r="C2" t="inlineStr">
        <is>
          <t>Default: flat curve from template yield</t>
        </is>
      </c>
    </row>
    <row r="3">
      <c r="A3" t="n">
        <v>1</v>
      </c>
      <c r="B3">
        <f>'Bond Toolkit'!$B$9</f>
        <v/>
      </c>
      <c r="C3" t="inlineStr">
        <is>
          <t>Default: flat curve from template yield</t>
        </is>
      </c>
    </row>
    <row r="4">
      <c r="A4" t="n">
        <v>2</v>
      </c>
      <c r="B4">
        <f>'Bond Toolkit'!$B$9</f>
        <v/>
      </c>
      <c r="C4" t="inlineStr">
        <is>
          <t>Default: flat curve from template yield</t>
        </is>
      </c>
    </row>
    <row r="5">
      <c r="A5" t="n">
        <v>5</v>
      </c>
      <c r="B5">
        <f>'Bond Toolkit'!$B$9</f>
        <v/>
      </c>
      <c r="C5" t="inlineStr">
        <is>
          <t>Default: flat curve from template yield</t>
        </is>
      </c>
    </row>
    <row r="6">
      <c r="A6" t="n">
        <v>10</v>
      </c>
      <c r="B6">
        <f>'Bond Toolkit'!$B$9</f>
        <v/>
      </c>
      <c r="C6" t="inlineStr">
        <is>
          <t>Default: flat curve from template yield</t>
        </is>
      </c>
    </row>
    <row r="7">
      <c r="A7" t="n">
        <v>20</v>
      </c>
      <c r="B7">
        <f>'Bond Toolkit'!$B$9</f>
        <v/>
      </c>
      <c r="C7" t="inlineStr">
        <is>
          <t>Default: flat curve from template yield</t>
        </is>
      </c>
    </row>
    <row r="8">
      <c r="A8" t="n">
        <v>30</v>
      </c>
      <c r="B8">
        <f>'Bond Toolkit'!$B$9</f>
        <v/>
      </c>
      <c r="C8" t="inlineStr">
        <is>
          <t>Default: flat curve from template yield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2026-01-21T21:45:09Z</dcterms:created>
  <dcterms:modified xmlns:dcterms="http://purl.org/dc/terms/" xmlns:xsi="http://www.w3.org/2001/XMLSchema-instance" xsi:type="dcterms:W3CDTF">2026-01-21T21:45:09Z</dcterms:modified>
</cp:coreProperties>
</file>